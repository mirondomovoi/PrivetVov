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<sst xmlns="http://schemas.openxmlformats.org/spreadsheetml/2006/main" count="81" uniqueCount="69">
  <si>
    <t>Баллы с учетом весов</t>
  </si>
  <si>
    <t>№</t>
  </si>
  <si>
    <t>Категории</t>
  </si>
  <si>
    <t>Resident Evil 2</t>
  </si>
  <si>
    <t>Silent Hill 2</t>
  </si>
  <si>
    <t>Максимальный балл</t>
  </si>
  <si>
    <t>Вес</t>
  </si>
  <si>
    <t>Геймплей</t>
  </si>
  <si>
    <t>Управление</t>
  </si>
  <si>
    <t>Система ресурсов</t>
  </si>
  <si>
    <t>Головоломки</t>
  </si>
  <si>
    <t>Боевая механика</t>
  </si>
  <si>
    <t>Реиграбельность</t>
  </si>
  <si>
    <t>Сумма подкритериев:</t>
  </si>
  <si>
    <t>Дизайн уровней</t>
  </si>
  <si>
    <t>Структура локаций</t>
  </si>
  <si>
    <t>Интерактивность окружения</t>
  </si>
  <si>
    <t>Секреты</t>
  </si>
  <si>
    <t>Атмосферность</t>
  </si>
  <si>
    <t>Навигация и карта</t>
  </si>
  <si>
    <t>Сюжет</t>
  </si>
  <si>
    <t>Основная фабула</t>
  </si>
  <si>
    <t>Способ подачи</t>
  </si>
  <si>
    <t xml:space="preserve">Проработка персонажей </t>
  </si>
  <si>
    <t>Вариативность концовок</t>
  </si>
  <si>
    <t>Графика</t>
  </si>
  <si>
    <t>Техническое качество</t>
  </si>
  <si>
    <t>Художественный стиль</t>
  </si>
  <si>
    <t>Анимация</t>
  </si>
  <si>
    <t>Освещение и спецэффекты</t>
  </si>
  <si>
    <t>Звук</t>
  </si>
  <si>
    <t>Музыка</t>
  </si>
  <si>
    <t>Звуки окружения</t>
  </si>
  <si>
    <t>Озвучка персонажей</t>
  </si>
  <si>
    <t>Звуки врагов</t>
  </si>
  <si>
    <t>Противники</t>
  </si>
  <si>
    <t>Типы врагов</t>
  </si>
  <si>
    <t>Поведение и AI</t>
  </si>
  <si>
    <t>Боссы</t>
  </si>
  <si>
    <t>Баланс сложности</t>
  </si>
  <si>
    <t>Интерфейс</t>
  </si>
  <si>
    <t>Удобство UI</t>
  </si>
  <si>
    <t>Инвентарь</t>
  </si>
  <si>
    <t>Отображение состояния</t>
  </si>
  <si>
    <t>Техническая производительность</t>
  </si>
  <si>
    <t>Стабильность</t>
  </si>
  <si>
    <t>Оптимизация</t>
  </si>
  <si>
    <t>Время загрузки</t>
  </si>
  <si>
    <t>Сумма критериев:</t>
  </si>
  <si>
    <t>Расчет без учета весов</t>
  </si>
  <si>
    <t>90-100%</t>
  </si>
  <si>
    <t>Отлично</t>
  </si>
  <si>
    <t>Расчет с учетом весов подкритериев</t>
  </si>
  <si>
    <t>75-89%</t>
  </si>
  <si>
    <t>Хорошо</t>
  </si>
  <si>
    <t>Расчет с учетом весов критериев</t>
  </si>
  <si>
    <t>60-74%</t>
  </si>
  <si>
    <t>Удовлетворительно</t>
  </si>
  <si>
    <t>Общая</t>
  </si>
  <si>
    <t>Макс. балл</t>
  </si>
  <si>
    <t>Критериев</t>
  </si>
  <si>
    <t>Общий балл</t>
  </si>
  <si>
    <t>40-59%</t>
  </si>
  <si>
    <t>Плохо</t>
  </si>
  <si>
    <t>Максимальное допустимое значение</t>
  </si>
  <si>
    <t>0-39%</t>
  </si>
  <si>
    <t>Очень плохо</t>
  </si>
  <si>
    <t>Итоговая оценка</t>
  </si>
  <si>
    <t>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</si>
</sst>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_ "/>
    <numFmt numFmtId="181" formatCode="0.0_ "/>
    <numFmt numFmtId="182" formatCode="0_ "/>
    <numFmt numFmtId="183" formatCode="0.0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DF2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1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20" applyNumberFormat="0" applyAlignment="0" applyProtection="0">
      <alignment vertical="center"/>
    </xf>
    <xf numFmtId="0" fontId="12" fillId="11" borderId="21" applyNumberFormat="0" applyAlignment="0" applyProtection="0">
      <alignment vertical="center"/>
    </xf>
    <xf numFmtId="0" fontId="13" fillId="11" borderId="20" applyNumberFormat="0" applyAlignment="0" applyProtection="0">
      <alignment vertical="center"/>
    </xf>
    <xf numFmtId="0" fontId="14" fillId="12" borderId="22" applyNumberFormat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67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80" fontId="0" fillId="5" borderId="3" xfId="0" applyNumberFormat="1" applyFill="1" applyBorder="1" applyAlignment="1">
      <alignment horizontal="center"/>
    </xf>
    <xf numFmtId="180" fontId="0" fillId="5" borderId="1" xfId="0" applyNumberFormat="1" applyFill="1" applyBorder="1" applyAlignment="1">
      <alignment horizontal="center"/>
    </xf>
    <xf numFmtId="181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80" fontId="0" fillId="0" borderId="5" xfId="0" applyNumberFormat="1" applyBorder="1" applyAlignment="1">
      <alignment horizontal="center"/>
    </xf>
    <xf numFmtId="180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80" fontId="0" fillId="0" borderId="8" xfId="0" applyNumberFormat="1" applyBorder="1" applyAlignment="1">
      <alignment horizontal="center"/>
    </xf>
    <xf numFmtId="180" fontId="0" fillId="0" borderId="7" xfId="0" applyNumberFormat="1" applyBorder="1" applyAlignment="1">
      <alignment horizontal="center"/>
    </xf>
    <xf numFmtId="182" fontId="0" fillId="0" borderId="0" xfId="0" applyNumberFormat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181" fontId="0" fillId="0" borderId="6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181" fontId="0" fillId="0" borderId="0" xfId="0" applyNumberFormat="1" applyAlignment="1">
      <alignment horizontal="center"/>
    </xf>
    <xf numFmtId="0" fontId="0" fillId="5" borderId="2" xfId="0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Fill="1" applyAlignment="1"/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right"/>
    </xf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2" fillId="0" borderId="0" xfId="0" applyFont="1" applyFill="1" applyBorder="1" applyAlignment="1"/>
    <xf numFmtId="0" fontId="2" fillId="0" borderId="11" xfId="0" applyFont="1" applyFill="1" applyBorder="1" applyAlignment="1">
      <alignment horizontal="right"/>
    </xf>
    <xf numFmtId="180" fontId="2" fillId="0" borderId="4" xfId="0" applyNumberFormat="1" applyFont="1" applyFill="1" applyBorder="1" applyAlignment="1"/>
    <xf numFmtId="180" fontId="2" fillId="0" borderId="5" xfId="0" applyNumberFormat="1" applyFont="1" applyFill="1" applyBorder="1" applyAlignment="1"/>
    <xf numFmtId="0" fontId="2" fillId="0" borderId="12" xfId="0" applyFont="1" applyFill="1" applyBorder="1" applyAlignment="1"/>
    <xf numFmtId="0" fontId="2" fillId="0" borderId="9" xfId="0" applyFont="1" applyFill="1" applyBorder="1" applyAlignment="1"/>
    <xf numFmtId="0" fontId="2" fillId="0" borderId="13" xfId="0" applyFont="1" applyFill="1" applyBorder="1" applyAlignment="1"/>
    <xf numFmtId="0" fontId="2" fillId="0" borderId="6" xfId="0" applyFont="1" applyFill="1" applyBorder="1" applyAlignment="1">
      <alignment horizontal="right"/>
    </xf>
    <xf numFmtId="0" fontId="2" fillId="0" borderId="7" xfId="0" applyFont="1" applyFill="1" applyBorder="1" applyAlignment="1"/>
    <xf numFmtId="0" fontId="2" fillId="0" borderId="7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right"/>
    </xf>
    <xf numFmtId="180" fontId="2" fillId="0" borderId="1" xfId="0" applyNumberFormat="1" applyFont="1" applyFill="1" applyBorder="1" applyAlignment="1"/>
    <xf numFmtId="0" fontId="2" fillId="0" borderId="0" xfId="0" applyFont="1" applyFill="1" applyBorder="1" applyAlignment="1">
      <alignment horizontal="right"/>
    </xf>
    <xf numFmtId="183" fontId="2" fillId="0" borderId="1" xfId="0" applyNumberFormat="1" applyFont="1" applyFill="1" applyBorder="1" applyAlignment="1"/>
    <xf numFmtId="183" fontId="2" fillId="0" borderId="0" xfId="0" applyNumberFormat="1" applyFont="1" applyFill="1" applyBorder="1" applyAlignment="1"/>
    <xf numFmtId="0" fontId="0" fillId="5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5" borderId="0" xfId="0" applyFill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"/>
  <sheetViews>
    <sheetView tabSelected="1" zoomScale="85" zoomScaleNormal="85" topLeftCell="A55" workbookViewId="0">
      <selection activeCell="I7" sqref="I7"/>
    </sheetView>
  </sheetViews>
  <sheetFormatPr defaultColWidth="9" defaultRowHeight="15"/>
  <cols>
    <col min="1" max="1" width="6.42857142857143" customWidth="1"/>
    <col min="2" max="2" width="36.2857142857143" customWidth="1"/>
    <col min="3" max="3" width="15.7142857142857" customWidth="1"/>
    <col min="4" max="4" width="15.5714285714286" customWidth="1"/>
    <col min="5" max="5" width="22" customWidth="1"/>
    <col min="6" max="6" width="9.57142857142857"/>
    <col min="7" max="7" width="18.5714285714286" customWidth="1"/>
    <col min="8" max="8" width="19.1428571428571" customWidth="1"/>
    <col min="9" max="9" width="21" customWidth="1"/>
    <col min="10" max="10" width="19.8571428571429" customWidth="1"/>
  </cols>
  <sheetData>
    <row r="1" spans="7:8">
      <c r="G1" s="2" t="s">
        <v>0</v>
      </c>
      <c r="H1" s="2"/>
    </row>
    <row r="2" spans="1:9">
      <c r="A2" s="3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3" t="s">
        <v>6</v>
      </c>
      <c r="G2" s="6" t="s">
        <v>3</v>
      </c>
      <c r="H2" s="7" t="s">
        <v>4</v>
      </c>
      <c r="I2" s="3" t="s">
        <v>5</v>
      </c>
    </row>
    <row r="3" spans="1:10">
      <c r="A3" s="8">
        <v>1</v>
      </c>
      <c r="B3" s="9" t="s">
        <v>7</v>
      </c>
      <c r="C3" s="10">
        <f>SUM(C4:C8)</f>
        <v>17</v>
      </c>
      <c r="D3" s="10">
        <f>SUM(D4:D8)</f>
        <v>19</v>
      </c>
      <c r="E3" s="11">
        <f t="shared" ref="E3:E8" si="0">MAX(C3:D3)</f>
        <v>19</v>
      </c>
      <c r="F3" s="8">
        <v>0.2</v>
      </c>
      <c r="G3" s="12">
        <f>SUM(G4:G8)</f>
        <v>3.35</v>
      </c>
      <c r="H3" s="13">
        <f>SUM(H4:H8)</f>
        <v>3.8</v>
      </c>
      <c r="I3" s="8">
        <f t="shared" ref="I3:I8" si="1">MAX(G3:H3)</f>
        <v>3.8</v>
      </c>
      <c r="J3" s="63">
        <v>25</v>
      </c>
    </row>
    <row r="4" spans="1:10">
      <c r="A4" s="14">
        <v>1.1</v>
      </c>
      <c r="B4" t="s">
        <v>8</v>
      </c>
      <c r="C4" s="2">
        <v>3</v>
      </c>
      <c r="D4" s="2">
        <v>4</v>
      </c>
      <c r="E4" s="15">
        <f t="shared" si="0"/>
        <v>4</v>
      </c>
      <c r="F4" s="16">
        <v>0.2</v>
      </c>
      <c r="G4" s="17">
        <f>$F4*C4</f>
        <v>0.6</v>
      </c>
      <c r="H4" s="17">
        <f>$F4*D4</f>
        <v>0.8</v>
      </c>
      <c r="I4" s="64">
        <f t="shared" si="1"/>
        <v>0.8</v>
      </c>
      <c r="J4" s="2"/>
    </row>
    <row r="5" spans="1:10">
      <c r="A5" s="18">
        <v>1.2</v>
      </c>
      <c r="B5" t="s">
        <v>9</v>
      </c>
      <c r="C5" s="2">
        <v>4</v>
      </c>
      <c r="D5" s="2">
        <v>4</v>
      </c>
      <c r="E5" s="19">
        <f t="shared" si="0"/>
        <v>4</v>
      </c>
      <c r="F5" s="16">
        <v>0.15</v>
      </c>
      <c r="G5" s="17">
        <f>$F5*C5</f>
        <v>0.6</v>
      </c>
      <c r="H5" s="17">
        <f>$F5*D5</f>
        <v>0.6</v>
      </c>
      <c r="I5" s="64">
        <f t="shared" si="1"/>
        <v>0.6</v>
      </c>
      <c r="J5" s="2"/>
    </row>
    <row r="6" spans="1:10">
      <c r="A6" s="18">
        <v>1.3</v>
      </c>
      <c r="B6" t="s">
        <v>10</v>
      </c>
      <c r="C6" s="2">
        <v>3</v>
      </c>
      <c r="D6" s="2">
        <v>4</v>
      </c>
      <c r="E6" s="19">
        <f t="shared" si="0"/>
        <v>4</v>
      </c>
      <c r="F6" s="16">
        <v>0.25</v>
      </c>
      <c r="G6" s="17">
        <f>$F6*C6</f>
        <v>0.75</v>
      </c>
      <c r="H6" s="17">
        <f>$F6*D6</f>
        <v>1</v>
      </c>
      <c r="I6" s="64">
        <f t="shared" si="1"/>
        <v>1</v>
      </c>
      <c r="J6" s="2"/>
    </row>
    <row r="7" spans="1:10">
      <c r="A7" s="14">
        <v>1.4</v>
      </c>
      <c r="B7" t="s">
        <v>11</v>
      </c>
      <c r="C7" s="2">
        <v>3</v>
      </c>
      <c r="D7" s="2">
        <v>4</v>
      </c>
      <c r="E7" s="19">
        <f t="shared" si="0"/>
        <v>4</v>
      </c>
      <c r="F7" s="16">
        <v>0.2</v>
      </c>
      <c r="G7" s="17">
        <f>$F7*C7</f>
        <v>0.6</v>
      </c>
      <c r="H7" s="17">
        <f>$F7*D7</f>
        <v>0.8</v>
      </c>
      <c r="I7" s="64">
        <f t="shared" si="1"/>
        <v>0.8</v>
      </c>
      <c r="J7" s="2"/>
    </row>
    <row r="8" spans="1:10">
      <c r="A8" s="20">
        <v>1.5</v>
      </c>
      <c r="B8" s="21" t="s">
        <v>12</v>
      </c>
      <c r="C8" s="22">
        <v>4</v>
      </c>
      <c r="D8" s="22">
        <v>3</v>
      </c>
      <c r="E8" s="23">
        <f t="shared" si="0"/>
        <v>4</v>
      </c>
      <c r="F8" s="24">
        <v>0.2</v>
      </c>
      <c r="G8" s="25">
        <f>$F8*C8</f>
        <v>0.8</v>
      </c>
      <c r="H8" s="25">
        <f>$F8*D8</f>
        <v>0.6</v>
      </c>
      <c r="I8" s="65">
        <f t="shared" si="1"/>
        <v>0.8</v>
      </c>
      <c r="J8" s="2"/>
    </row>
    <row r="9" spans="3:10">
      <c r="C9" s="2"/>
      <c r="D9" s="2"/>
      <c r="E9" s="2" t="s">
        <v>13</v>
      </c>
      <c r="F9" s="26">
        <f>SUM(F4:F8)</f>
        <v>1</v>
      </c>
      <c r="G9" s="2"/>
      <c r="H9" s="2"/>
      <c r="I9" s="2"/>
      <c r="J9" s="2"/>
    </row>
    <row r="10" s="1" customFormat="1" spans="1:10">
      <c r="A10" s="8">
        <v>2</v>
      </c>
      <c r="B10" s="9" t="s">
        <v>14</v>
      </c>
      <c r="C10" s="10">
        <f>SUM(C11:C15)</f>
        <v>16</v>
      </c>
      <c r="D10" s="10">
        <f>SUM(D11:D15)</f>
        <v>19</v>
      </c>
      <c r="E10" s="11">
        <f t="shared" ref="E10:E15" si="2">MAX(C10:D10)</f>
        <v>19</v>
      </c>
      <c r="F10" s="8">
        <v>0.15</v>
      </c>
      <c r="G10" s="10">
        <f>SUM(G11:G15)</f>
        <v>3.4</v>
      </c>
      <c r="H10" s="10">
        <f>SUM(H11:H15)</f>
        <v>4</v>
      </c>
      <c r="I10" s="8">
        <f t="shared" ref="I10:I15" si="3">MAX(G10:H10)</f>
        <v>4</v>
      </c>
      <c r="J10" s="63">
        <v>25</v>
      </c>
    </row>
    <row r="11" spans="1:10">
      <c r="A11" s="14">
        <v>2.1</v>
      </c>
      <c r="B11" t="s">
        <v>15</v>
      </c>
      <c r="C11" s="2">
        <v>4</v>
      </c>
      <c r="D11" s="2">
        <v>4</v>
      </c>
      <c r="E11" s="27">
        <f t="shared" si="2"/>
        <v>4</v>
      </c>
      <c r="F11" s="15">
        <v>0.3</v>
      </c>
      <c r="G11" s="2">
        <f>$F11*C11</f>
        <v>1.2</v>
      </c>
      <c r="H11" s="2">
        <f>$F11*D11</f>
        <v>1.2</v>
      </c>
      <c r="I11" s="64">
        <f t="shared" si="3"/>
        <v>1.2</v>
      </c>
      <c r="J11" s="2"/>
    </row>
    <row r="12" spans="1:10">
      <c r="A12" s="18">
        <v>2.2</v>
      </c>
      <c r="B12" t="s">
        <v>16</v>
      </c>
      <c r="C12" s="2">
        <v>3</v>
      </c>
      <c r="D12" s="2">
        <v>4</v>
      </c>
      <c r="E12" s="28">
        <f t="shared" si="2"/>
        <v>4</v>
      </c>
      <c r="F12" s="19">
        <v>0.2</v>
      </c>
      <c r="G12" s="2">
        <f>$F12*C12</f>
        <v>0.6</v>
      </c>
      <c r="H12" s="2">
        <f>$F12*D12</f>
        <v>0.8</v>
      </c>
      <c r="I12" s="64">
        <f t="shared" si="3"/>
        <v>0.8</v>
      </c>
      <c r="J12" s="2"/>
    </row>
    <row r="13" spans="1:10">
      <c r="A13" s="14">
        <v>2.3</v>
      </c>
      <c r="B13" t="s">
        <v>17</v>
      </c>
      <c r="C13" s="2">
        <v>3</v>
      </c>
      <c r="D13" s="2">
        <v>3</v>
      </c>
      <c r="E13" s="28">
        <f t="shared" si="2"/>
        <v>3</v>
      </c>
      <c r="F13" s="19">
        <v>0.1</v>
      </c>
      <c r="G13" s="2">
        <f>$F13*C13</f>
        <v>0.3</v>
      </c>
      <c r="H13" s="2">
        <f>$F13*D13</f>
        <v>0.3</v>
      </c>
      <c r="I13" s="64">
        <f t="shared" si="3"/>
        <v>0.3</v>
      </c>
      <c r="J13" s="2"/>
    </row>
    <row r="14" spans="1:10">
      <c r="A14" s="18">
        <v>2.4</v>
      </c>
      <c r="B14" t="s">
        <v>18</v>
      </c>
      <c r="C14" s="2">
        <v>4</v>
      </c>
      <c r="D14" s="2">
        <v>5</v>
      </c>
      <c r="E14" s="28">
        <f t="shared" si="2"/>
        <v>5</v>
      </c>
      <c r="F14" s="19">
        <v>0.25</v>
      </c>
      <c r="G14" s="2">
        <f>$F14*C14</f>
        <v>1</v>
      </c>
      <c r="H14" s="2">
        <f>$F14*D14</f>
        <v>1.25</v>
      </c>
      <c r="I14" s="64">
        <f t="shared" si="3"/>
        <v>1.25</v>
      </c>
      <c r="J14" s="2"/>
    </row>
    <row r="15" spans="1:10">
      <c r="A15" s="29">
        <v>2.5</v>
      </c>
      <c r="B15" s="21" t="s">
        <v>19</v>
      </c>
      <c r="C15" s="22">
        <v>2</v>
      </c>
      <c r="D15" s="22">
        <v>3</v>
      </c>
      <c r="E15" s="30">
        <f t="shared" si="2"/>
        <v>3</v>
      </c>
      <c r="F15" s="23">
        <v>0.15</v>
      </c>
      <c r="G15" s="22">
        <f>$F15*C15</f>
        <v>0.3</v>
      </c>
      <c r="H15" s="22">
        <f>$F15*D15</f>
        <v>0.45</v>
      </c>
      <c r="I15" s="65">
        <f t="shared" si="3"/>
        <v>0.45</v>
      </c>
      <c r="J15" s="2"/>
    </row>
    <row r="16" spans="3:10">
      <c r="C16" s="2"/>
      <c r="D16" s="2"/>
      <c r="E16" s="2" t="s">
        <v>13</v>
      </c>
      <c r="F16" s="31">
        <f>SUM(F11:F15)</f>
        <v>1</v>
      </c>
      <c r="G16" s="2"/>
      <c r="H16" s="2"/>
      <c r="I16" s="2"/>
      <c r="J16" s="2"/>
    </row>
    <row r="17" spans="1:10">
      <c r="A17" s="8">
        <v>3</v>
      </c>
      <c r="B17" s="9" t="s">
        <v>20</v>
      </c>
      <c r="C17" s="10">
        <f>SUM(C18:C21)</f>
        <v>12</v>
      </c>
      <c r="D17" s="10">
        <f>SUM(D18:D21)</f>
        <v>18</v>
      </c>
      <c r="E17" s="8">
        <f>MAX(C17:D17)</f>
        <v>18</v>
      </c>
      <c r="F17" s="8">
        <v>0.2</v>
      </c>
      <c r="G17" s="10">
        <f>SUM(G18:G21)</f>
        <v>3.15</v>
      </c>
      <c r="H17" s="10">
        <f>SUM(H18:H21)</f>
        <v>4.65</v>
      </c>
      <c r="I17" s="8">
        <f>MAX(G17:H17)</f>
        <v>4.65</v>
      </c>
      <c r="J17" s="63">
        <v>20</v>
      </c>
    </row>
    <row r="18" s="1" customFormat="1" spans="1:10">
      <c r="A18" s="14">
        <v>3.1</v>
      </c>
      <c r="B18" t="s">
        <v>21</v>
      </c>
      <c r="C18" s="2">
        <v>3</v>
      </c>
      <c r="D18" s="2">
        <v>5</v>
      </c>
      <c r="E18" s="2">
        <f>MAX(C18:D18)</f>
        <v>5</v>
      </c>
      <c r="F18" s="2">
        <v>0.4</v>
      </c>
      <c r="G18" s="2">
        <f>$F18*C18</f>
        <v>1.2</v>
      </c>
      <c r="H18" s="2">
        <f>$F18*D18</f>
        <v>2</v>
      </c>
      <c r="I18" s="64">
        <f>MAX(G18:H18)</f>
        <v>2</v>
      </c>
      <c r="J18" s="2"/>
    </row>
    <row r="19" spans="1:10">
      <c r="A19" s="18">
        <v>3.2</v>
      </c>
      <c r="B19" t="s">
        <v>22</v>
      </c>
      <c r="C19" s="2">
        <v>4</v>
      </c>
      <c r="D19" s="2">
        <v>4</v>
      </c>
      <c r="E19" s="2">
        <f>MAX(C19:D19)</f>
        <v>4</v>
      </c>
      <c r="F19" s="2">
        <v>0.25</v>
      </c>
      <c r="G19" s="2">
        <f>$F19*C19</f>
        <v>1</v>
      </c>
      <c r="H19" s="2">
        <f>$F19*D19</f>
        <v>1</v>
      </c>
      <c r="I19" s="64">
        <f>MAX(G19:H19)</f>
        <v>1</v>
      </c>
      <c r="J19" s="2"/>
    </row>
    <row r="20" spans="1:10">
      <c r="A20" s="14">
        <v>3.3</v>
      </c>
      <c r="B20" t="s">
        <v>23</v>
      </c>
      <c r="C20" s="2">
        <v>3</v>
      </c>
      <c r="D20" s="2">
        <v>5</v>
      </c>
      <c r="E20" s="2">
        <f>MAX(C20:D20)</f>
        <v>5</v>
      </c>
      <c r="F20" s="2">
        <v>0.25</v>
      </c>
      <c r="G20" s="2">
        <f>$F20*C20</f>
        <v>0.75</v>
      </c>
      <c r="H20" s="2">
        <f>$F20*D20</f>
        <v>1.25</v>
      </c>
      <c r="I20" s="64">
        <f>MAX(G20:H20)</f>
        <v>1.25</v>
      </c>
      <c r="J20" s="2"/>
    </row>
    <row r="21" spans="1:10">
      <c r="A21" s="20">
        <v>3.4</v>
      </c>
      <c r="B21" s="21" t="s">
        <v>24</v>
      </c>
      <c r="C21" s="22">
        <v>2</v>
      </c>
      <c r="D21" s="22">
        <v>4</v>
      </c>
      <c r="E21" s="22">
        <f>MAX(C21:D21)</f>
        <v>4</v>
      </c>
      <c r="F21" s="22">
        <v>0.1</v>
      </c>
      <c r="G21" s="22">
        <f>$F21*C21</f>
        <v>0.2</v>
      </c>
      <c r="H21" s="22">
        <f>$F21*D21</f>
        <v>0.4</v>
      </c>
      <c r="I21" s="65">
        <f>MAX(G21:H21)</f>
        <v>0.4</v>
      </c>
      <c r="J21" s="2"/>
    </row>
    <row r="22" spans="1:10">
      <c r="A22" s="32"/>
      <c r="C22" s="2"/>
      <c r="D22" s="2"/>
      <c r="E22" s="2" t="s">
        <v>13</v>
      </c>
      <c r="F22" s="31">
        <f>SUM(F18:F21)</f>
        <v>1</v>
      </c>
      <c r="G22" s="2"/>
      <c r="H22" s="2"/>
      <c r="I22" s="2"/>
      <c r="J22" s="2"/>
    </row>
    <row r="23" spans="1:10">
      <c r="A23" s="8">
        <v>4</v>
      </c>
      <c r="B23" s="9" t="s">
        <v>25</v>
      </c>
      <c r="C23" s="33">
        <f>SUM(C24:C27)</f>
        <v>11</v>
      </c>
      <c r="D23" s="33">
        <f>SUM(D24:D27)</f>
        <v>16</v>
      </c>
      <c r="E23" s="8">
        <f>MAX(C23:D23)</f>
        <v>16</v>
      </c>
      <c r="F23" s="8">
        <v>0.15</v>
      </c>
      <c r="G23" s="10">
        <f>SUM(G24:G27)</f>
        <v>2.65</v>
      </c>
      <c r="H23" s="10">
        <f>SUM(H24:H27)</f>
        <v>4</v>
      </c>
      <c r="I23" s="8">
        <f>MAX(G23:H23)</f>
        <v>4</v>
      </c>
      <c r="J23" s="63">
        <v>20</v>
      </c>
    </row>
    <row r="24" spans="1:10">
      <c r="A24" s="14">
        <v>4.1</v>
      </c>
      <c r="B24" t="s">
        <v>26</v>
      </c>
      <c r="C24" s="34">
        <v>2</v>
      </c>
      <c r="D24" s="2">
        <v>4</v>
      </c>
      <c r="E24" s="2">
        <f>MAX(C24:D24)</f>
        <v>4</v>
      </c>
      <c r="F24" s="2">
        <v>0.35</v>
      </c>
      <c r="G24" s="2">
        <f>$F24*C24</f>
        <v>0.7</v>
      </c>
      <c r="H24" s="2">
        <f>$F24*D24</f>
        <v>1.4</v>
      </c>
      <c r="I24" s="64">
        <f>MAX(G24:H24)</f>
        <v>1.4</v>
      </c>
      <c r="J24" s="2"/>
    </row>
    <row r="25" s="1" customFormat="1" spans="1:10">
      <c r="A25" s="18">
        <v>4.2</v>
      </c>
      <c r="B25" t="s">
        <v>27</v>
      </c>
      <c r="C25" s="2">
        <v>3</v>
      </c>
      <c r="D25" s="2">
        <v>4</v>
      </c>
      <c r="E25" s="2">
        <f>MAX(C25:D25)</f>
        <v>4</v>
      </c>
      <c r="F25" s="2">
        <v>0.15</v>
      </c>
      <c r="G25" s="2">
        <f>$F25*C25</f>
        <v>0.45</v>
      </c>
      <c r="H25" s="2">
        <f>$F25*D25</f>
        <v>0.6</v>
      </c>
      <c r="I25" s="64">
        <f>MAX(G25:H25)</f>
        <v>0.6</v>
      </c>
      <c r="J25" s="2"/>
    </row>
    <row r="26" spans="1:10">
      <c r="A26" s="14">
        <v>4.3</v>
      </c>
      <c r="B26" t="s">
        <v>28</v>
      </c>
      <c r="C26" s="2">
        <v>3</v>
      </c>
      <c r="D26" s="2">
        <v>4</v>
      </c>
      <c r="E26" s="2">
        <f>MAX(C26:D26)</f>
        <v>4</v>
      </c>
      <c r="F26" s="2">
        <v>0.3</v>
      </c>
      <c r="G26" s="2">
        <f>$F26*C26</f>
        <v>0.9</v>
      </c>
      <c r="H26" s="2">
        <f>$F26*D26</f>
        <v>1.2</v>
      </c>
      <c r="I26" s="64">
        <f>MAX(G26:H26)</f>
        <v>1.2</v>
      </c>
      <c r="J26" s="2"/>
    </row>
    <row r="27" spans="1:10">
      <c r="A27" s="20">
        <v>4.4</v>
      </c>
      <c r="B27" s="21" t="s">
        <v>29</v>
      </c>
      <c r="C27" s="22">
        <v>3</v>
      </c>
      <c r="D27" s="22">
        <v>4</v>
      </c>
      <c r="E27" s="22">
        <f>MAX(C27:D27)</f>
        <v>4</v>
      </c>
      <c r="F27" s="22">
        <v>0.2</v>
      </c>
      <c r="G27" s="22">
        <f>$F27*C27</f>
        <v>0.6</v>
      </c>
      <c r="H27" s="22">
        <f>$F27*D27</f>
        <v>0.8</v>
      </c>
      <c r="I27" s="65">
        <f>MAX(G27:H27)</f>
        <v>0.8</v>
      </c>
      <c r="J27" s="2"/>
    </row>
    <row r="28" spans="1:10">
      <c r="A28" s="32"/>
      <c r="C28" s="2"/>
      <c r="D28" s="2"/>
      <c r="E28" s="2" t="s">
        <v>13</v>
      </c>
      <c r="F28" s="31">
        <f>SUM(F24:F27)</f>
        <v>1</v>
      </c>
      <c r="G28" s="2"/>
      <c r="H28" s="2"/>
      <c r="I28" s="2"/>
      <c r="J28" s="2"/>
    </row>
    <row r="29" spans="1:10">
      <c r="A29" s="8">
        <v>5</v>
      </c>
      <c r="B29" s="9" t="s">
        <v>30</v>
      </c>
      <c r="C29" s="10">
        <f>SUM(C30:C33)</f>
        <v>12</v>
      </c>
      <c r="D29" s="10">
        <f>SUM(D30:D33)</f>
        <v>17</v>
      </c>
      <c r="E29" s="8">
        <f>MAX(C29:D29)</f>
        <v>17</v>
      </c>
      <c r="F29" s="8">
        <v>0.1</v>
      </c>
      <c r="G29" s="10">
        <f>SUM(G30:G33)</f>
        <v>3</v>
      </c>
      <c r="H29" s="10">
        <f>SUM(H30:H33)</f>
        <v>4.3</v>
      </c>
      <c r="I29" s="8">
        <f>MAX(G29:H29)</f>
        <v>4.3</v>
      </c>
      <c r="J29" s="63">
        <v>20</v>
      </c>
    </row>
    <row r="30" spans="1:10">
      <c r="A30" s="14">
        <v>5.1</v>
      </c>
      <c r="B30" t="s">
        <v>31</v>
      </c>
      <c r="C30" s="2">
        <v>3</v>
      </c>
      <c r="D30" s="2">
        <v>5</v>
      </c>
      <c r="E30" s="2">
        <f>MAX(C30:D30)</f>
        <v>5</v>
      </c>
      <c r="F30" s="2">
        <v>0.3</v>
      </c>
      <c r="G30" s="2">
        <f>$F30*C30</f>
        <v>0.9</v>
      </c>
      <c r="H30" s="2">
        <f>$F30*D30</f>
        <v>1.5</v>
      </c>
      <c r="I30" s="64">
        <f>MAX(G30:H30)</f>
        <v>1.5</v>
      </c>
      <c r="J30" s="2"/>
    </row>
    <row r="31" spans="1:10">
      <c r="A31" s="18">
        <v>5.2</v>
      </c>
      <c r="B31" t="s">
        <v>32</v>
      </c>
      <c r="C31" s="2">
        <v>3</v>
      </c>
      <c r="D31" s="2">
        <v>4</v>
      </c>
      <c r="E31" s="2">
        <f>MAX(C31:D31)</f>
        <v>4</v>
      </c>
      <c r="F31" s="2">
        <v>0.2</v>
      </c>
      <c r="G31" s="2">
        <f>$F31*C31</f>
        <v>0.6</v>
      </c>
      <c r="H31" s="2">
        <f>$F31*D31</f>
        <v>0.8</v>
      </c>
      <c r="I31" s="64">
        <f>MAX(G31:H31)</f>
        <v>0.8</v>
      </c>
      <c r="J31" s="2"/>
    </row>
    <row r="32" s="1" customFormat="1" spans="1:10">
      <c r="A32" s="14">
        <v>5.3</v>
      </c>
      <c r="B32" t="s">
        <v>33</v>
      </c>
      <c r="C32" s="2">
        <v>3</v>
      </c>
      <c r="D32" s="2">
        <v>4</v>
      </c>
      <c r="E32" s="2">
        <f>MAX(C32:D32)</f>
        <v>4</v>
      </c>
      <c r="F32" s="2">
        <v>0.3</v>
      </c>
      <c r="G32" s="2">
        <f>$F32*C32</f>
        <v>0.9</v>
      </c>
      <c r="H32" s="2">
        <f>$F32*D32</f>
        <v>1.2</v>
      </c>
      <c r="I32" s="64">
        <f>MAX(G32:H32)</f>
        <v>1.2</v>
      </c>
      <c r="J32" s="2"/>
    </row>
    <row r="33" spans="1:10">
      <c r="A33" s="20">
        <v>5.4</v>
      </c>
      <c r="B33" s="21" t="s">
        <v>34</v>
      </c>
      <c r="C33" s="22">
        <v>3</v>
      </c>
      <c r="D33" s="22">
        <v>4</v>
      </c>
      <c r="E33" s="22">
        <f>MAX(C33:D33)</f>
        <v>4</v>
      </c>
      <c r="F33" s="22">
        <v>0.2</v>
      </c>
      <c r="G33" s="35">
        <f>$F33*C33</f>
        <v>0.6</v>
      </c>
      <c r="H33" s="35">
        <f>$F33*D33</f>
        <v>0.8</v>
      </c>
      <c r="I33" s="65">
        <f>MAX(G33:H33)</f>
        <v>0.8</v>
      </c>
      <c r="J33" s="2"/>
    </row>
    <row r="34" spans="1:10">
      <c r="A34" s="32"/>
      <c r="C34" s="2"/>
      <c r="D34" s="2"/>
      <c r="E34" s="2" t="s">
        <v>13</v>
      </c>
      <c r="F34" s="31">
        <f>SUM(F30:F33)</f>
        <v>1</v>
      </c>
      <c r="G34" s="2"/>
      <c r="H34" s="2"/>
      <c r="I34" s="2"/>
      <c r="J34" s="2"/>
    </row>
    <row r="35" spans="1:10">
      <c r="A35" s="8">
        <v>6</v>
      </c>
      <c r="B35" s="9" t="s">
        <v>35</v>
      </c>
      <c r="C35" s="10">
        <f>SUM(C36:C39)</f>
        <v>14</v>
      </c>
      <c r="D35" s="10">
        <f>SUM(D36:D39)</f>
        <v>14</v>
      </c>
      <c r="E35" s="8">
        <f>MAX(C35:D35)</f>
        <v>14</v>
      </c>
      <c r="F35" s="8">
        <v>0.1</v>
      </c>
      <c r="G35" s="10">
        <f>SUM(G36:G39)</f>
        <v>3.5</v>
      </c>
      <c r="H35" s="10">
        <f>SUM(H36:H39)</f>
        <v>3.45</v>
      </c>
      <c r="I35" s="8">
        <f>MAX(G35:H35)</f>
        <v>3.5</v>
      </c>
      <c r="J35" s="63">
        <v>20</v>
      </c>
    </row>
    <row r="36" spans="1:10">
      <c r="A36" s="14">
        <v>6.1</v>
      </c>
      <c r="B36" t="s">
        <v>36</v>
      </c>
      <c r="C36" s="2">
        <v>4</v>
      </c>
      <c r="D36" s="2">
        <v>4</v>
      </c>
      <c r="E36" s="2">
        <f>MAX(C36:D36)</f>
        <v>4</v>
      </c>
      <c r="F36" s="2">
        <v>0.2</v>
      </c>
      <c r="G36" s="2">
        <f>$F36*C36</f>
        <v>0.8</v>
      </c>
      <c r="H36" s="2">
        <f>$F36*D36</f>
        <v>0.8</v>
      </c>
      <c r="I36" s="64">
        <f>MAX(G36:H36)</f>
        <v>0.8</v>
      </c>
      <c r="J36" s="2"/>
    </row>
    <row r="37" spans="1:10">
      <c r="A37" s="18">
        <v>6.2</v>
      </c>
      <c r="B37" t="s">
        <v>37</v>
      </c>
      <c r="C37" s="36">
        <v>2</v>
      </c>
      <c r="D37" s="2">
        <v>3</v>
      </c>
      <c r="E37" s="2">
        <f>MAX(C37:D37)</f>
        <v>3</v>
      </c>
      <c r="F37" s="2">
        <v>0.25</v>
      </c>
      <c r="G37" s="2">
        <f>$F37*C37</f>
        <v>0.5</v>
      </c>
      <c r="H37" s="2">
        <f>$F37*D37</f>
        <v>0.75</v>
      </c>
      <c r="I37" s="64">
        <f>MAX(G37:H37)</f>
        <v>0.75</v>
      </c>
      <c r="J37" s="2"/>
    </row>
    <row r="38" spans="1:10">
      <c r="A38" s="14">
        <v>6.3</v>
      </c>
      <c r="B38" t="s">
        <v>38</v>
      </c>
      <c r="C38" s="2">
        <v>4</v>
      </c>
      <c r="D38" s="2">
        <v>3</v>
      </c>
      <c r="E38" s="2">
        <f>MAX(C38:D38)</f>
        <v>4</v>
      </c>
      <c r="F38" s="2">
        <v>0.3</v>
      </c>
      <c r="G38" s="2">
        <f>$F38*C38</f>
        <v>1.2</v>
      </c>
      <c r="H38" s="2">
        <f>$F38*D38</f>
        <v>0.9</v>
      </c>
      <c r="I38" s="64">
        <f>MAX(G38:H38)</f>
        <v>1.2</v>
      </c>
      <c r="J38" s="2"/>
    </row>
    <row r="39" s="1" customFormat="1" spans="1:10">
      <c r="A39" s="20">
        <v>6.4</v>
      </c>
      <c r="B39" s="21" t="s">
        <v>39</v>
      </c>
      <c r="C39" s="22">
        <v>4</v>
      </c>
      <c r="D39" s="22">
        <v>4</v>
      </c>
      <c r="E39" s="22">
        <f>MAX(C39:D39)</f>
        <v>4</v>
      </c>
      <c r="F39" s="22">
        <v>0.25</v>
      </c>
      <c r="G39" s="22">
        <f>$F39*C39</f>
        <v>1</v>
      </c>
      <c r="H39" s="22">
        <f>$F39*D39</f>
        <v>1</v>
      </c>
      <c r="I39" s="65">
        <f>MAX(G39:H39)</f>
        <v>1</v>
      </c>
      <c r="J39" s="2"/>
    </row>
    <row r="40" spans="3:10">
      <c r="C40" s="2"/>
      <c r="D40" s="2"/>
      <c r="E40" s="2" t="s">
        <v>13</v>
      </c>
      <c r="F40" s="31">
        <f>SUM(F36:F39)</f>
        <v>1</v>
      </c>
      <c r="G40" s="2"/>
      <c r="H40" s="2"/>
      <c r="I40" s="2"/>
      <c r="J40" s="2"/>
    </row>
    <row r="41" spans="1:10">
      <c r="A41" s="8">
        <v>7</v>
      </c>
      <c r="B41" s="9" t="s">
        <v>40</v>
      </c>
      <c r="C41" s="10">
        <f>SUM(C42:C44)</f>
        <v>10</v>
      </c>
      <c r="D41" s="10">
        <f>SUM(D42:D44)</f>
        <v>12</v>
      </c>
      <c r="E41" s="8">
        <f>MAX(C41:D41)</f>
        <v>12</v>
      </c>
      <c r="F41" s="8">
        <v>0.05</v>
      </c>
      <c r="G41" s="10">
        <f>SUM(G42:G44)</f>
        <v>3.3</v>
      </c>
      <c r="H41" s="10">
        <f>SUM(H42:H44)</f>
        <v>4</v>
      </c>
      <c r="I41" s="8">
        <f>MAX(G41:H41)</f>
        <v>4</v>
      </c>
      <c r="J41" s="66">
        <v>15</v>
      </c>
    </row>
    <row r="42" spans="1:10">
      <c r="A42" s="14">
        <v>7.1</v>
      </c>
      <c r="B42" t="s">
        <v>41</v>
      </c>
      <c r="C42" s="2">
        <v>3</v>
      </c>
      <c r="D42" s="2">
        <v>4</v>
      </c>
      <c r="E42" s="2">
        <f>MAX(C42:D42)</f>
        <v>4</v>
      </c>
      <c r="F42" s="2">
        <v>0.4</v>
      </c>
      <c r="G42" s="2">
        <f>$F42*C42</f>
        <v>1.2</v>
      </c>
      <c r="H42" s="2">
        <f>$F42*D42</f>
        <v>1.6</v>
      </c>
      <c r="I42" s="64">
        <f>MAX(G42:H42)</f>
        <v>1.6</v>
      </c>
      <c r="J42" s="36"/>
    </row>
    <row r="43" spans="1:10">
      <c r="A43" s="18">
        <v>7.2</v>
      </c>
      <c r="B43" t="s">
        <v>42</v>
      </c>
      <c r="C43" s="2">
        <v>3</v>
      </c>
      <c r="D43" s="2">
        <v>4</v>
      </c>
      <c r="E43" s="2">
        <f>MAX(C43:D43)</f>
        <v>4</v>
      </c>
      <c r="F43" s="2">
        <v>0.3</v>
      </c>
      <c r="G43" s="2">
        <f>$F43*C43</f>
        <v>0.9</v>
      </c>
      <c r="H43" s="2">
        <f>$F43*D43</f>
        <v>1.2</v>
      </c>
      <c r="I43" s="64">
        <f>MAX(G43:H43)</f>
        <v>1.2</v>
      </c>
      <c r="J43" s="36"/>
    </row>
    <row r="44" spans="1:10">
      <c r="A44" s="29">
        <v>7.3</v>
      </c>
      <c r="B44" s="21" t="s">
        <v>43</v>
      </c>
      <c r="C44" s="22">
        <v>4</v>
      </c>
      <c r="D44" s="22">
        <v>4</v>
      </c>
      <c r="E44" s="22">
        <f>MAX(C44:D44)</f>
        <v>4</v>
      </c>
      <c r="F44" s="22">
        <v>0.3</v>
      </c>
      <c r="G44" s="22">
        <f>$F44*C44</f>
        <v>1.2</v>
      </c>
      <c r="H44" s="22">
        <f>$F44*D44</f>
        <v>1.2</v>
      </c>
      <c r="I44" s="65">
        <f>MAX(G44:H44)</f>
        <v>1.2</v>
      </c>
      <c r="J44" s="36"/>
    </row>
    <row r="45" spans="3:10">
      <c r="C45" s="2"/>
      <c r="D45" s="2"/>
      <c r="E45" s="2" t="s">
        <v>13</v>
      </c>
      <c r="F45" s="2">
        <v>1</v>
      </c>
      <c r="G45" s="2"/>
      <c r="H45" s="2"/>
      <c r="I45" s="2"/>
      <c r="J45" s="2"/>
    </row>
    <row r="46" s="1" customFormat="1" spans="1:10">
      <c r="A46" s="8">
        <v>8</v>
      </c>
      <c r="B46" s="9" t="s">
        <v>44</v>
      </c>
      <c r="C46" s="10">
        <f>SUM(C47:C49)</f>
        <v>14</v>
      </c>
      <c r="D46" s="10">
        <f>SUM(D47:D49)</f>
        <v>14</v>
      </c>
      <c r="E46" s="8">
        <f>MAX(C46:D46)</f>
        <v>14</v>
      </c>
      <c r="F46" s="8">
        <v>0.05</v>
      </c>
      <c r="G46" s="10">
        <f>SUM(G47:G49)</f>
        <v>4.8</v>
      </c>
      <c r="H46" s="10">
        <f>SUM(H47:H49)</f>
        <v>4.8</v>
      </c>
      <c r="I46" s="8">
        <f>MAX(G46:H46)</f>
        <v>4.8</v>
      </c>
      <c r="J46" s="63">
        <v>15</v>
      </c>
    </row>
    <row r="47" spans="1:10">
      <c r="A47" s="14">
        <v>8.1</v>
      </c>
      <c r="B47" t="s">
        <v>45</v>
      </c>
      <c r="C47" s="2">
        <v>5</v>
      </c>
      <c r="D47" s="2">
        <v>5</v>
      </c>
      <c r="E47" s="2">
        <f>MAX(C47:D47)</f>
        <v>5</v>
      </c>
      <c r="F47" s="2">
        <v>0.5</v>
      </c>
      <c r="G47" s="2">
        <f>$F47*C47</f>
        <v>2.5</v>
      </c>
      <c r="H47" s="2">
        <f>$F47*D47</f>
        <v>2.5</v>
      </c>
      <c r="I47" s="64">
        <f>MAX(G47:H47)</f>
        <v>2.5</v>
      </c>
      <c r="J47" s="2"/>
    </row>
    <row r="48" spans="1:10">
      <c r="A48" s="18">
        <v>8.2</v>
      </c>
      <c r="B48" t="s">
        <v>46</v>
      </c>
      <c r="C48" s="2">
        <v>5</v>
      </c>
      <c r="D48" s="2">
        <v>5</v>
      </c>
      <c r="E48" s="2">
        <f>MAX(C48:D48)</f>
        <v>5</v>
      </c>
      <c r="F48" s="2">
        <v>0.3</v>
      </c>
      <c r="G48" s="2">
        <f>$F48*C48</f>
        <v>1.5</v>
      </c>
      <c r="H48" s="2">
        <f>$F48*D48</f>
        <v>1.5</v>
      </c>
      <c r="I48" s="64">
        <f>MAX(G48:H48)</f>
        <v>1.5</v>
      </c>
      <c r="J48" s="2"/>
    </row>
    <row r="49" spans="1:10">
      <c r="A49" s="29">
        <v>8.3</v>
      </c>
      <c r="B49" s="21" t="s">
        <v>47</v>
      </c>
      <c r="C49" s="22">
        <v>4</v>
      </c>
      <c r="D49" s="22">
        <v>4</v>
      </c>
      <c r="E49" s="22">
        <f>MAX(C49:D49)</f>
        <v>4</v>
      </c>
      <c r="F49" s="22">
        <v>0.2</v>
      </c>
      <c r="G49" s="22">
        <f>$F49*C49</f>
        <v>0.8</v>
      </c>
      <c r="H49" s="22">
        <f>$F49*D49</f>
        <v>0.8</v>
      </c>
      <c r="I49" s="65">
        <f>MAX(G49:H49)</f>
        <v>0.8</v>
      </c>
      <c r="J49" s="2"/>
    </row>
    <row r="50" spans="1:6">
      <c r="A50" s="32"/>
      <c r="E50" t="s">
        <v>13</v>
      </c>
      <c r="F50" s="31">
        <f>SUM(F47:F49)</f>
        <v>1</v>
      </c>
    </row>
    <row r="51" spans="1:9">
      <c r="A51" s="2"/>
      <c r="B51" s="2"/>
      <c r="C51" s="2"/>
      <c r="D51" s="2"/>
      <c r="E51" s="37" t="s">
        <v>48</v>
      </c>
      <c r="F51" s="37">
        <f>SUM(F3,F10,F17,F23,F29,F35,F41,F46)</f>
        <v>1</v>
      </c>
      <c r="G51" s="2"/>
      <c r="H51" s="38"/>
      <c r="I51" s="2"/>
    </row>
    <row r="52" s="1" customFormat="1" spans="1:1">
      <c r="A52" s="36"/>
    </row>
    <row r="53" spans="2:10">
      <c r="B53" s="36"/>
      <c r="C53" s="36"/>
      <c r="D53" s="36"/>
      <c r="E53" s="36"/>
      <c r="F53" s="36"/>
      <c r="G53" s="36"/>
      <c r="H53" s="39"/>
      <c r="I53" s="36"/>
      <c r="J53" s="1"/>
    </row>
    <row r="54" ht="15.75" spans="2:8">
      <c r="B54" s="40"/>
      <c r="C54" s="41" t="s">
        <v>3</v>
      </c>
      <c r="D54" s="42" t="s">
        <v>4</v>
      </c>
      <c r="E54" s="43"/>
      <c r="F54" s="43"/>
      <c r="G54" s="43"/>
      <c r="H54" s="43"/>
    </row>
    <row r="55" spans="2:10">
      <c r="B55" s="44" t="s">
        <v>49</v>
      </c>
      <c r="C55" s="45">
        <f>SUM(C3,C10,C17,C23,C29,C35,C41,C46)</f>
        <v>106</v>
      </c>
      <c r="D55" s="46">
        <f>SUM(D3,D10,D17,D23,D29,D35,D41,D46)</f>
        <v>129</v>
      </c>
      <c r="E55" s="47"/>
      <c r="F55" s="47"/>
      <c r="G55" s="47"/>
      <c r="H55" s="47"/>
      <c r="I55" s="40" t="s">
        <v>50</v>
      </c>
      <c r="J55" s="40" t="s">
        <v>51</v>
      </c>
    </row>
    <row r="56" spans="2:10">
      <c r="B56" s="48" t="s">
        <v>52</v>
      </c>
      <c r="C56" s="49">
        <f>SUM(G3,G10,G17,G23,G29,G35,G41,G46)</f>
        <v>27.15</v>
      </c>
      <c r="D56" s="50">
        <f>SUM(H3,H10,H17,H23,H29,H35,H41,H46)</f>
        <v>33</v>
      </c>
      <c r="E56" s="47"/>
      <c r="F56" s="47"/>
      <c r="G56" s="47"/>
      <c r="H56" s="47"/>
      <c r="I56" s="40" t="s">
        <v>53</v>
      </c>
      <c r="J56" s="40" t="s">
        <v>54</v>
      </c>
    </row>
    <row r="57" spans="2:10">
      <c r="B57" s="48" t="s">
        <v>55</v>
      </c>
      <c r="C57" s="50">
        <f>SUM($F$3*G3,$F$10*G10,$F$17*G17,$F$23*G23,$F$29*G29,$F$35*G35,$F$41*G41,$F$46*G46)</f>
        <v>3.2625</v>
      </c>
      <c r="D57" s="50">
        <f>SUM($F$3*H3,$F$10*H10,$F$17*H17,$F$23*H23,$F$29*H29,$F$35*H35,$F$41*H41,$F$46*H46)</f>
        <v>4.105</v>
      </c>
      <c r="E57" s="47"/>
      <c r="F57" s="47"/>
      <c r="G57" s="47"/>
      <c r="H57" s="47"/>
      <c r="I57" s="40" t="s">
        <v>56</v>
      </c>
      <c r="J57" s="40" t="s">
        <v>57</v>
      </c>
    </row>
    <row r="58" spans="2:10">
      <c r="B58" s="51"/>
      <c r="C58" s="52" t="s">
        <v>58</v>
      </c>
      <c r="D58" s="52" t="s">
        <v>59</v>
      </c>
      <c r="E58" s="52" t="s">
        <v>60</v>
      </c>
      <c r="F58" s="52" t="s">
        <v>61</v>
      </c>
      <c r="G58" s="53"/>
      <c r="H58" s="40"/>
      <c r="I58" s="40" t="s">
        <v>62</v>
      </c>
      <c r="J58" s="40" t="s">
        <v>63</v>
      </c>
    </row>
    <row r="59" spans="2:10">
      <c r="B59" s="54" t="s">
        <v>64</v>
      </c>
      <c r="C59" s="55">
        <f>SUM(J3,J10,J17,J23,J29,J35,J41,J46)</f>
        <v>160</v>
      </c>
      <c r="D59" s="55">
        <v>5</v>
      </c>
      <c r="E59" s="55">
        <v>8</v>
      </c>
      <c r="F59" s="56">
        <f>D59*E59</f>
        <v>40</v>
      </c>
      <c r="G59" s="57"/>
      <c r="H59" s="40"/>
      <c r="I59" s="40" t="s">
        <v>65</v>
      </c>
      <c r="J59" s="40" t="s">
        <v>66</v>
      </c>
    </row>
    <row r="60" spans="2:8">
      <c r="B60" s="58" t="s">
        <v>67</v>
      </c>
      <c r="C60" s="59">
        <f>C57/$D$59</f>
        <v>0.6525</v>
      </c>
      <c r="D60" s="59">
        <f>D57/$D$59</f>
        <v>0.821</v>
      </c>
      <c r="E60" s="47"/>
      <c r="F60" s="47"/>
      <c r="G60" s="47"/>
      <c r="H60" s="47"/>
    </row>
    <row r="61" spans="2:8">
      <c r="B61" s="60" t="s">
        <v>68</v>
      </c>
      <c r="C61" s="61">
        <f>C60*100</f>
        <v>65.25</v>
      </c>
      <c r="D61" s="61">
        <f>D60*100</f>
        <v>82.1</v>
      </c>
      <c r="E61" s="62"/>
      <c r="F61" s="62"/>
      <c r="G61" s="62"/>
      <c r="H61" s="62"/>
    </row>
    <row r="62" spans="2:8">
      <c r="B62" s="40"/>
      <c r="C62" s="40"/>
      <c r="D62" s="40"/>
      <c r="E62" s="40"/>
      <c r="F62" s="40"/>
      <c r="G62" s="40"/>
      <c r="H62" s="40"/>
    </row>
    <row r="63" spans="2:8">
      <c r="B63" s="40"/>
      <c r="C63" s="40"/>
      <c r="F63" s="40"/>
      <c r="G63" s="40"/>
      <c r="H63" s="40"/>
    </row>
    <row r="64" spans="1:8">
      <c r="A64" s="2"/>
      <c r="B64" s="40"/>
      <c r="C64" s="40"/>
      <c r="F64" s="40"/>
      <c r="G64" s="40"/>
      <c r="H64" s="40"/>
    </row>
    <row r="65" spans="1:8">
      <c r="A65" s="32"/>
      <c r="B65" s="40"/>
      <c r="C65" s="40"/>
      <c r="F65" s="40"/>
      <c r="G65" s="40"/>
      <c r="H65" s="40"/>
    </row>
    <row r="66" spans="1:8">
      <c r="A66" s="2"/>
      <c r="B66" s="40"/>
      <c r="C66" s="40"/>
      <c r="F66" s="40"/>
      <c r="G66" s="40"/>
      <c r="H66" s="40"/>
    </row>
    <row r="67" spans="1:8">
      <c r="A67" s="2"/>
      <c r="B67" s="40"/>
      <c r="C67" s="40"/>
      <c r="F67" s="40"/>
      <c r="G67" s="40"/>
      <c r="H67" s="40"/>
    </row>
    <row r="68" spans="1:1">
      <c r="A68" s="32"/>
    </row>
    <row r="69" spans="1:1">
      <c r="A69" s="2"/>
    </row>
  </sheetData>
  <mergeCells count="3">
    <mergeCell ref="G1:H1"/>
    <mergeCell ref="G16:H16"/>
    <mergeCell ref="F59:G5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MР3 Play</cp:lastModifiedBy>
  <dcterms:created xsi:type="dcterms:W3CDTF">2025-07-21T09:59:00Z</dcterms:created>
  <dcterms:modified xsi:type="dcterms:W3CDTF">2026-03-09T21:02:56Z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1049-12.2.0.23196</vt:lpwstr>
  </property>
  <property fmtid="{D5CDD505-2E9C-101B-9397-08002B2CF9AE}" pid="3" name="ICV">
    <vt:lpwstr>65B03F33450C402BB618F4D5D9E4A376_12</vt:lpwstr>
  </property>
</Properties>
</file>