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Результат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<sst xmlns="http://schemas.openxmlformats.org/spreadsheetml/2006/main" count="124" uniqueCount="105">
  <si>
    <t>Баллы с учетом весов</t>
  </si>
  <si>
    <t>№</t>
  </si>
  <si>
    <t>Категории</t>
  </si>
  <si>
    <t>VS Code</t>
  </si>
  <si>
    <t>Sublime Text</t>
  </si>
  <si>
    <t>Atom</t>
  </si>
  <si>
    <t>Eclipse</t>
  </si>
  <si>
    <t>Visual Studio</t>
  </si>
  <si>
    <t>IntelliJ IDEA</t>
  </si>
  <si>
    <t>Максимальный балл</t>
  </si>
  <si>
    <t>Вес</t>
  </si>
  <si>
    <t>Широта методологии</t>
  </si>
  <si>
    <t>1.1</t>
  </si>
  <si>
    <t>Поддержка различных языков программирования</t>
  </si>
  <si>
    <t>1.2</t>
  </si>
  <si>
    <t>Гибкость в разработке</t>
  </si>
  <si>
    <t>1.3</t>
  </si>
  <si>
    <t>Наличие документации</t>
  </si>
  <si>
    <t>1.4</t>
  </si>
  <si>
    <t>Поддержка различных типов проектов (веб-приложения, мобильные приложения, десктопные приложения, игры, облачные приложения)</t>
  </si>
  <si>
    <t>1.5</t>
  </si>
  <si>
    <t>Возможность работы с различными архитектурными подходами (микросервисы, многослойная архитектура)</t>
  </si>
  <si>
    <t>Сумма подкритериев:</t>
  </si>
  <si>
    <t>2</t>
  </si>
  <si>
    <t>Технологические возможности</t>
  </si>
  <si>
    <t>2.1</t>
  </si>
  <si>
    <t>Интеграция с API, сервисами, Git, CI/CD</t>
  </si>
  <si>
    <t>2.2</t>
  </si>
  <si>
    <t>Поддержка контейнеризации и виртуализации</t>
  </si>
  <si>
    <t>2.3</t>
  </si>
  <si>
    <t>Поддержка работы на различных ОС (Возможность писать программный код на Windows, Linux и других ОС)</t>
  </si>
  <si>
    <t>2.4</t>
  </si>
  <si>
    <t>Кросс-платформенность (разработка для различных операционных систем)</t>
  </si>
  <si>
    <t>2.5</t>
  </si>
  <si>
    <t>Поддержка работы с различными типами баз данных (реляционные, NoSQL, графовые и т.д.)</t>
  </si>
  <si>
    <t>3</t>
  </si>
  <si>
    <t>Функциональность</t>
  </si>
  <si>
    <t>3.1</t>
  </si>
  <si>
    <t>Инструменты для отладки и тестирования</t>
  </si>
  <si>
    <t>3.2</t>
  </si>
  <si>
    <t>Рефакторинг и автодополнение</t>
  </si>
  <si>
    <t>3.3</t>
  </si>
  <si>
    <t>Поддержка расширяемости (добавление блиблиотек, плагинов, фреймворков)</t>
  </si>
  <si>
    <t>3.4</t>
  </si>
  <si>
    <t>Инструменты для автоматической генерации документации</t>
  </si>
  <si>
    <t>4</t>
  </si>
  <si>
    <t>Коммуникативность</t>
  </si>
  <si>
    <t>4.1</t>
  </si>
  <si>
    <t>Удобство совместной работы в команде</t>
  </si>
  <si>
    <t>4.2</t>
  </si>
  <si>
    <t>Документация и поддержка сообщества</t>
  </si>
  <si>
    <t>4.3</t>
  </si>
  <si>
    <t>Доступность обучения и обучающих материалов</t>
  </si>
  <si>
    <t>4.4</t>
  </si>
  <si>
    <t>Примеры использования</t>
  </si>
  <si>
    <t>5</t>
  </si>
  <si>
    <t>Доступность лицензий и тарифных планов</t>
  </si>
  <si>
    <t>5.1</t>
  </si>
  <si>
    <t>Наличие бесплатной версии для студентов и обучения</t>
  </si>
  <si>
    <t>5.2</t>
  </si>
  <si>
    <t>Наличие временной бесплатной версии для организаций</t>
  </si>
  <si>
    <t>5.3</t>
  </si>
  <si>
    <t>Доступность версий (Разновидности редакций для разных организаций)</t>
  </si>
  <si>
    <t>5.4</t>
  </si>
  <si>
    <t>Доступность оплаты тарифа на территории РФ</t>
  </si>
  <si>
    <t>6</t>
  </si>
  <si>
    <t>Стоимость</t>
  </si>
  <si>
    <t>6.1</t>
  </si>
  <si>
    <t>Лицензионные затраты</t>
  </si>
  <si>
    <t>6.2</t>
  </si>
  <si>
    <t>Затраты на обучение</t>
  </si>
  <si>
    <t>6.3</t>
  </si>
  <si>
    <t>Затраты на поддержку</t>
  </si>
  <si>
    <t>6.4</t>
  </si>
  <si>
    <t>Операционные затраты</t>
  </si>
  <si>
    <t>7</t>
  </si>
  <si>
    <t>Техническая  поддержка</t>
  </si>
  <si>
    <t>7.1</t>
  </si>
  <si>
    <t>Эффективность работы на слабых устройствах</t>
  </si>
  <si>
    <t>7.2</t>
  </si>
  <si>
    <t>Стойкость к сбоям и корректность восстановления</t>
  </si>
  <si>
    <t>7.3</t>
  </si>
  <si>
    <t>Поддержка обновлений и исправлений</t>
  </si>
  <si>
    <t>Сумма критериев:</t>
  </si>
  <si>
    <t>Расчет без учета весов</t>
  </si>
  <si>
    <t>Расчет с учетом весов подкритериев</t>
  </si>
  <si>
    <t>Расчет с учетом весов критериев</t>
  </si>
  <si>
    <t>общая</t>
  </si>
  <si>
    <t>макс. Балл</t>
  </si>
  <si>
    <t>критериев</t>
  </si>
  <si>
    <t>общий. Балл</t>
  </si>
  <si>
    <t>Максимальное допустимое значение</t>
  </si>
  <si>
    <t>Итоговая оценка</t>
  </si>
  <si>
    <t>%</t>
  </si>
  <si>
    <t>90-100%</t>
  </si>
  <si>
    <t>Отлично</t>
  </si>
  <si>
    <t>75-89%</t>
  </si>
  <si>
    <t>Хорошо</t>
  </si>
  <si>
    <t>60-74%</t>
  </si>
  <si>
    <t>Удовлетворительно</t>
  </si>
  <si>
    <t>40-59%</t>
  </si>
  <si>
    <t>Плохо</t>
  </si>
  <si>
    <t>0-39%</t>
  </si>
  <si>
    <t>Очень плохо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</si>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</sst>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DF2D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DCB0EE"/>
        <bgColor indexed="64"/>
      </patternFill>
    </fill>
    <fill>
      <patternFill patternType="solid">
        <fgColor rgb="FFFDCBCB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0" borderId="2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2" applyNumberFormat="0" applyFill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9" fillId="0" borderId="2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24" applyNumberFormat="0" applyAlignment="0" applyProtection="0">
      <alignment vertical="center"/>
    </xf>
    <xf numFmtId="0" fontId="11" fillId="12" borderId="25" applyNumberFormat="0" applyAlignment="0" applyProtection="0">
      <alignment vertical="center"/>
    </xf>
    <xf numFmtId="0" fontId="12" fillId="12" borderId="24" applyNumberFormat="0" applyAlignment="0" applyProtection="0">
      <alignment vertical="center"/>
    </xf>
    <xf numFmtId="0" fontId="13" fillId="13" borderId="26" applyNumberFormat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57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8" borderId="1" xfId="0" applyNumberFormat="1" applyFill="1" applyBorder="1"/>
    <xf numFmtId="0" fontId="0" fillId="8" borderId="1" xfId="0" applyFill="1" applyBorder="1"/>
    <xf numFmtId="0" fontId="0" fillId="0" borderId="0" xfId="0" applyAlignment="1">
      <alignment wrapText="1"/>
    </xf>
    <xf numFmtId="49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2" xfId="0" applyBorder="1"/>
    <xf numFmtId="49" fontId="0" fillId="8" borderId="3" xfId="0" applyNumberFormat="1" applyFill="1" applyBorder="1"/>
    <xf numFmtId="0" fontId="0" fillId="8" borderId="3" xfId="0" applyFill="1" applyBorder="1"/>
    <xf numFmtId="49" fontId="0" fillId="0" borderId="4" xfId="0" applyNumberFormat="1" applyBorder="1"/>
    <xf numFmtId="0" fontId="0" fillId="0" borderId="4" xfId="0" applyBorder="1"/>
    <xf numFmtId="49" fontId="0" fillId="8" borderId="5" xfId="0" applyNumberFormat="1" applyFill="1" applyBorder="1"/>
    <xf numFmtId="0" fontId="0" fillId="8" borderId="5" xfId="0" applyFill="1" applyBorder="1"/>
    <xf numFmtId="49" fontId="0" fillId="9" borderId="0" xfId="0" applyNumberFormat="1" applyFill="1"/>
    <xf numFmtId="0" fontId="0" fillId="9" borderId="0" xfId="0" applyFill="1"/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0" xfId="0" applyFill="1" applyBorder="1" applyAlignment="1">
      <alignment horizontal="right"/>
    </xf>
    <xf numFmtId="180" fontId="0" fillId="0" borderId="0" xfId="0" applyNumberFormat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0" fillId="8" borderId="19" xfId="0" applyFill="1" applyBorder="1"/>
    <xf numFmtId="0" fontId="0" fillId="0" borderId="0" xfId="0" applyNumberFormat="1"/>
    <xf numFmtId="0" fontId="0" fillId="8" borderId="4" xfId="0" applyFill="1" applyBorder="1"/>
    <xf numFmtId="0" fontId="0" fillId="8" borderId="3" xfId="0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8" borderId="0" xfId="0" applyFill="1"/>
    <xf numFmtId="0" fontId="0" fillId="8" borderId="20" xfId="0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mruColors>
      <color rgb="00FDCBCB"/>
      <color rgb="00FDF2D5"/>
      <color rgb="00F9D9CF"/>
      <color rgb="00DCB0EE"/>
      <color rgb="00BA61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3"/>
  <sheetViews>
    <sheetView tabSelected="1" zoomScale="85" zoomScaleNormal="85" topLeftCell="A46" workbookViewId="0">
      <selection activeCell="C55" sqref="C55"/>
    </sheetView>
  </sheetViews>
  <sheetFormatPr defaultColWidth="9" defaultRowHeight="15"/>
  <cols>
    <col min="1" max="1" width="3.55238095238095" style="1" customWidth="1"/>
    <col min="2" max="2" width="71.6666666666667" customWidth="1"/>
    <col min="3" max="3" width="9.57142857142857"/>
    <col min="4" max="4" width="12" customWidth="1"/>
    <col min="5" max="5" width="9.66666666666667" customWidth="1"/>
    <col min="6" max="6" width="7.21904761904762" customWidth="1"/>
    <col min="7" max="7" width="12.6666666666667" customWidth="1"/>
    <col min="8" max="8" width="11.3333333333333" customWidth="1"/>
    <col min="9" max="9" width="20.4380952380952" customWidth="1"/>
    <col min="10" max="10" width="6.88571428571429" customWidth="1"/>
    <col min="17" max="17" width="20.4380952380952" customWidth="1"/>
  </cols>
  <sheetData>
    <row r="1" spans="11:16">
      <c r="K1" s="47" t="s">
        <v>0</v>
      </c>
      <c r="L1" s="47"/>
      <c r="M1" s="47"/>
      <c r="N1" s="47"/>
      <c r="O1" s="47"/>
      <c r="P1" s="47"/>
    </row>
    <row r="2" spans="1:18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48" t="s">
        <v>9</v>
      </c>
      <c r="J2" s="49" t="s">
        <v>10</v>
      </c>
      <c r="K2" s="4" t="s">
        <v>3</v>
      </c>
      <c r="L2" s="5" t="s">
        <v>4</v>
      </c>
      <c r="M2" s="6" t="s">
        <v>5</v>
      </c>
      <c r="N2" s="7" t="s">
        <v>6</v>
      </c>
      <c r="O2" s="8" t="s">
        <v>7</v>
      </c>
      <c r="P2" s="9" t="s">
        <v>8</v>
      </c>
      <c r="Q2" s="48" t="s">
        <v>9</v>
      </c>
      <c r="R2" s="54"/>
    </row>
    <row r="3" spans="1:18">
      <c r="A3" s="10">
        <v>1</v>
      </c>
      <c r="B3" s="11" t="s">
        <v>11</v>
      </c>
      <c r="C3" s="11">
        <f>SUM(C4:C8)</f>
        <v>20</v>
      </c>
      <c r="D3" s="11">
        <f t="shared" ref="D3:H3" si="0">SUM(D4:D8)</f>
        <v>10</v>
      </c>
      <c r="E3" s="11">
        <f t="shared" si="0"/>
        <v>12</v>
      </c>
      <c r="F3" s="11">
        <f t="shared" si="0"/>
        <v>15</v>
      </c>
      <c r="G3" s="11">
        <f t="shared" si="0"/>
        <v>20</v>
      </c>
      <c r="H3" s="11">
        <f t="shared" si="0"/>
        <v>20</v>
      </c>
      <c r="I3" s="11">
        <f>MAX(C3:H3)</f>
        <v>20</v>
      </c>
      <c r="J3" s="11">
        <v>0.15</v>
      </c>
      <c r="K3" s="11">
        <f>SUM(K4:K8)</f>
        <v>4</v>
      </c>
      <c r="L3" s="11">
        <f t="shared" ref="L3:P3" si="1">SUM(L4:L8)</f>
        <v>2.3</v>
      </c>
      <c r="M3" s="11">
        <f t="shared" si="1"/>
        <v>2.45</v>
      </c>
      <c r="N3" s="11">
        <f t="shared" si="1"/>
        <v>2.9</v>
      </c>
      <c r="O3" s="11">
        <f t="shared" si="1"/>
        <v>4</v>
      </c>
      <c r="P3" s="11">
        <f t="shared" si="1"/>
        <v>4</v>
      </c>
      <c r="Q3" s="11">
        <f>MAX(K3:P3)</f>
        <v>4</v>
      </c>
      <c r="R3" s="55">
        <f>5*5</f>
        <v>25</v>
      </c>
    </row>
    <row r="4" spans="1:17">
      <c r="A4" s="1" t="s">
        <v>12</v>
      </c>
      <c r="B4" t="s">
        <v>13</v>
      </c>
      <c r="C4">
        <v>4</v>
      </c>
      <c r="D4">
        <v>3</v>
      </c>
      <c r="E4">
        <v>2</v>
      </c>
      <c r="F4">
        <v>2</v>
      </c>
      <c r="G4">
        <v>4</v>
      </c>
      <c r="H4">
        <v>4</v>
      </c>
      <c r="I4">
        <f>MAX(C4:H4)</f>
        <v>4</v>
      </c>
      <c r="J4">
        <v>0.3</v>
      </c>
      <c r="K4" s="19">
        <f>$J4*C4</f>
        <v>1.2</v>
      </c>
      <c r="L4" s="19">
        <f t="shared" ref="L4:P4" si="2">$J4*D4</f>
        <v>0.9</v>
      </c>
      <c r="M4" s="19">
        <f t="shared" si="2"/>
        <v>0.6</v>
      </c>
      <c r="N4" s="19">
        <f t="shared" si="2"/>
        <v>0.6</v>
      </c>
      <c r="O4" s="19">
        <f t="shared" si="2"/>
        <v>1.2</v>
      </c>
      <c r="P4" s="19">
        <f t="shared" si="2"/>
        <v>1.2</v>
      </c>
      <c r="Q4">
        <f>MAX(K4:P4)</f>
        <v>1.2</v>
      </c>
    </row>
    <row r="5" spans="1:17">
      <c r="A5" s="1" t="s">
        <v>14</v>
      </c>
      <c r="B5" t="s">
        <v>15</v>
      </c>
      <c r="C5">
        <v>4</v>
      </c>
      <c r="D5">
        <v>3</v>
      </c>
      <c r="E5">
        <v>3</v>
      </c>
      <c r="F5">
        <v>3</v>
      </c>
      <c r="G5">
        <v>4</v>
      </c>
      <c r="H5">
        <v>4</v>
      </c>
      <c r="I5">
        <f t="shared" ref="I5:I8" si="3">MAX(C5:H5)</f>
        <v>4</v>
      </c>
      <c r="J5">
        <v>0.25</v>
      </c>
      <c r="K5">
        <f t="shared" ref="K5:K8" si="4">$J5*C5</f>
        <v>1</v>
      </c>
      <c r="L5">
        <f t="shared" ref="L5:L8" si="5">$J5*D5</f>
        <v>0.75</v>
      </c>
      <c r="M5">
        <f t="shared" ref="M5:M8" si="6">$J5*E5</f>
        <v>0.75</v>
      </c>
      <c r="N5">
        <f t="shared" ref="N5:N8" si="7">$J5*F5</f>
        <v>0.75</v>
      </c>
      <c r="O5">
        <f t="shared" ref="O5:O8" si="8">$J5*G5</f>
        <v>1</v>
      </c>
      <c r="P5">
        <f t="shared" ref="P5:P8" si="9">$J5*H5</f>
        <v>1</v>
      </c>
      <c r="Q5">
        <f>MAX(K5:P5)</f>
        <v>1</v>
      </c>
    </row>
    <row r="6" spans="1:17">
      <c r="A6" s="1" t="s">
        <v>16</v>
      </c>
      <c r="B6" t="s">
        <v>17</v>
      </c>
      <c r="C6">
        <v>4</v>
      </c>
      <c r="D6">
        <v>2</v>
      </c>
      <c r="E6">
        <v>3</v>
      </c>
      <c r="F6">
        <v>4</v>
      </c>
      <c r="G6">
        <v>4</v>
      </c>
      <c r="H6">
        <v>4</v>
      </c>
      <c r="I6">
        <f t="shared" si="3"/>
        <v>4</v>
      </c>
      <c r="J6">
        <v>0.2</v>
      </c>
      <c r="K6">
        <f t="shared" si="4"/>
        <v>0.8</v>
      </c>
      <c r="L6">
        <f t="shared" si="5"/>
        <v>0.4</v>
      </c>
      <c r="M6">
        <f t="shared" si="6"/>
        <v>0.6</v>
      </c>
      <c r="N6">
        <f t="shared" si="7"/>
        <v>0.8</v>
      </c>
      <c r="O6">
        <f t="shared" si="8"/>
        <v>0.8</v>
      </c>
      <c r="P6">
        <f t="shared" si="9"/>
        <v>0.8</v>
      </c>
      <c r="Q6">
        <f>MAX(K6:P6)</f>
        <v>0.8</v>
      </c>
    </row>
    <row r="7" ht="30" spans="1:17">
      <c r="A7" s="1" t="s">
        <v>18</v>
      </c>
      <c r="B7" s="12" t="s">
        <v>19</v>
      </c>
      <c r="C7">
        <v>4</v>
      </c>
      <c r="D7">
        <v>1</v>
      </c>
      <c r="E7">
        <v>2</v>
      </c>
      <c r="F7">
        <v>3</v>
      </c>
      <c r="G7">
        <v>4</v>
      </c>
      <c r="H7">
        <v>4</v>
      </c>
      <c r="I7">
        <f t="shared" si="3"/>
        <v>4</v>
      </c>
      <c r="J7">
        <v>0.15</v>
      </c>
      <c r="K7">
        <f t="shared" si="4"/>
        <v>0.6</v>
      </c>
      <c r="L7">
        <f t="shared" si="5"/>
        <v>0.15</v>
      </c>
      <c r="M7">
        <f t="shared" si="6"/>
        <v>0.3</v>
      </c>
      <c r="N7">
        <f t="shared" si="7"/>
        <v>0.45</v>
      </c>
      <c r="O7">
        <f t="shared" si="8"/>
        <v>0.6</v>
      </c>
      <c r="P7">
        <f t="shared" si="9"/>
        <v>0.6</v>
      </c>
      <c r="Q7">
        <f t="shared" ref="Q7:Q8" si="10">MAX(K7:P7)</f>
        <v>0.6</v>
      </c>
    </row>
    <row r="8" ht="30.75" spans="1:17">
      <c r="A8" s="13" t="s">
        <v>20</v>
      </c>
      <c r="B8" s="14" t="s">
        <v>21</v>
      </c>
      <c r="C8" s="15">
        <v>4</v>
      </c>
      <c r="D8" s="15">
        <v>1</v>
      </c>
      <c r="E8" s="15">
        <v>2</v>
      </c>
      <c r="F8" s="15">
        <v>3</v>
      </c>
      <c r="G8" s="15">
        <v>4</v>
      </c>
      <c r="H8" s="15">
        <v>4</v>
      </c>
      <c r="I8" s="15">
        <f t="shared" si="3"/>
        <v>4</v>
      </c>
      <c r="J8" s="15">
        <v>0.1</v>
      </c>
      <c r="K8" s="15">
        <f t="shared" si="4"/>
        <v>0.4</v>
      </c>
      <c r="L8" s="15">
        <f t="shared" si="5"/>
        <v>0.1</v>
      </c>
      <c r="M8" s="15">
        <f t="shared" si="6"/>
        <v>0.2</v>
      </c>
      <c r="N8" s="15">
        <f t="shared" si="7"/>
        <v>0.3</v>
      </c>
      <c r="O8" s="15">
        <f t="shared" si="8"/>
        <v>0.4</v>
      </c>
      <c r="P8" s="15">
        <f t="shared" si="9"/>
        <v>0.4</v>
      </c>
      <c r="Q8" s="15">
        <f t="shared" si="10"/>
        <v>0.4</v>
      </c>
    </row>
    <row r="9" spans="9:10">
      <c r="I9" t="s">
        <v>22</v>
      </c>
      <c r="J9">
        <f>SUM(J4:J8)</f>
        <v>1</v>
      </c>
    </row>
    <row r="10" spans="1:18">
      <c r="A10" s="16" t="s">
        <v>23</v>
      </c>
      <c r="B10" s="17" t="s">
        <v>24</v>
      </c>
      <c r="C10" s="17">
        <f t="shared" ref="C10:H10" si="11">SUM(C11:C16)</f>
        <v>17</v>
      </c>
      <c r="D10" s="17">
        <f t="shared" si="11"/>
        <v>8</v>
      </c>
      <c r="E10" s="17">
        <f t="shared" si="11"/>
        <v>12</v>
      </c>
      <c r="F10" s="17">
        <f t="shared" si="11"/>
        <v>17</v>
      </c>
      <c r="G10" s="17">
        <f t="shared" si="11"/>
        <v>17</v>
      </c>
      <c r="H10" s="17">
        <f t="shared" si="11"/>
        <v>18</v>
      </c>
      <c r="I10" s="17">
        <f>MAX(C10:H10)</f>
        <v>18</v>
      </c>
      <c r="J10" s="50">
        <v>0.25</v>
      </c>
      <c r="K10" s="17">
        <f t="shared" ref="K10:P10" si="12">SUM(K11:K16)</f>
        <v>3.54</v>
      </c>
      <c r="L10" s="17">
        <f t="shared" si="12"/>
        <v>1.33</v>
      </c>
      <c r="M10" s="17">
        <f t="shared" si="12"/>
        <v>2.22</v>
      </c>
      <c r="N10" s="17">
        <f t="shared" si="12"/>
        <v>3.1</v>
      </c>
      <c r="O10" s="17">
        <f t="shared" si="12"/>
        <v>3.65</v>
      </c>
      <c r="P10" s="17">
        <f t="shared" si="12"/>
        <v>3.77</v>
      </c>
      <c r="Q10" s="17">
        <f>MAX(K10:P10)</f>
        <v>3.77</v>
      </c>
      <c r="R10" s="56">
        <f>5*5</f>
        <v>25</v>
      </c>
    </row>
    <row r="11" spans="1:17">
      <c r="A11" s="1" t="s">
        <v>25</v>
      </c>
      <c r="B11" s="12" t="s">
        <v>26</v>
      </c>
      <c r="C11">
        <v>4</v>
      </c>
      <c r="D11">
        <v>1</v>
      </c>
      <c r="E11">
        <v>2</v>
      </c>
      <c r="F11">
        <v>2</v>
      </c>
      <c r="G11">
        <v>4</v>
      </c>
      <c r="H11">
        <v>4</v>
      </c>
      <c r="I11">
        <f t="shared" ref="I11:I15" si="13">MAX(C11:H11)</f>
        <v>4</v>
      </c>
      <c r="J11">
        <v>0.4</v>
      </c>
      <c r="K11" s="19">
        <f>$J11*C11</f>
        <v>1.6</v>
      </c>
      <c r="L11" s="19">
        <f t="shared" ref="L11:P11" si="14">$J11*D11</f>
        <v>0.4</v>
      </c>
      <c r="M11" s="19">
        <f t="shared" si="14"/>
        <v>0.8</v>
      </c>
      <c r="N11" s="19">
        <f t="shared" si="14"/>
        <v>0.8</v>
      </c>
      <c r="O11" s="19">
        <f t="shared" si="14"/>
        <v>1.6</v>
      </c>
      <c r="P11" s="19">
        <f t="shared" si="14"/>
        <v>1.6</v>
      </c>
      <c r="Q11">
        <f t="shared" ref="Q11:Q15" si="15">MAX(K11:P11)</f>
        <v>1.6</v>
      </c>
    </row>
    <row r="12" spans="1:17">
      <c r="A12" s="1" t="s">
        <v>27</v>
      </c>
      <c r="B12" t="s">
        <v>28</v>
      </c>
      <c r="C12">
        <v>2</v>
      </c>
      <c r="D12">
        <v>1</v>
      </c>
      <c r="E12">
        <v>2</v>
      </c>
      <c r="F12">
        <v>3</v>
      </c>
      <c r="G12">
        <v>4</v>
      </c>
      <c r="H12">
        <v>3</v>
      </c>
      <c r="I12">
        <f t="shared" si="13"/>
        <v>4</v>
      </c>
      <c r="J12">
        <v>0.1</v>
      </c>
      <c r="K12">
        <f>$J12*C12</f>
        <v>0.2</v>
      </c>
      <c r="L12">
        <f t="shared" ref="L12:L15" si="16">$J12*D12</f>
        <v>0.1</v>
      </c>
      <c r="M12">
        <f t="shared" ref="M12:M15" si="17">$J12*E12</f>
        <v>0.2</v>
      </c>
      <c r="N12">
        <f t="shared" ref="N12:N15" si="18">$J12*F12</f>
        <v>0.3</v>
      </c>
      <c r="O12">
        <f t="shared" ref="O12:O15" si="19">$J12*G12</f>
        <v>0.4</v>
      </c>
      <c r="P12">
        <f t="shared" ref="P12:P15" si="20">$J12*H12</f>
        <v>0.3</v>
      </c>
      <c r="Q12">
        <f t="shared" si="15"/>
        <v>0.4</v>
      </c>
    </row>
    <row r="13" ht="30" spans="1:17">
      <c r="A13" s="1" t="s">
        <v>29</v>
      </c>
      <c r="B13" s="12" t="s">
        <v>30</v>
      </c>
      <c r="C13">
        <v>4</v>
      </c>
      <c r="D13">
        <v>4</v>
      </c>
      <c r="E13">
        <v>4</v>
      </c>
      <c r="F13">
        <v>4</v>
      </c>
      <c r="G13">
        <v>2</v>
      </c>
      <c r="H13">
        <v>4</v>
      </c>
      <c r="I13">
        <f t="shared" si="13"/>
        <v>4</v>
      </c>
      <c r="J13">
        <v>0.11</v>
      </c>
      <c r="K13">
        <f t="shared" ref="K13:K15" si="21">$J13*C13</f>
        <v>0.44</v>
      </c>
      <c r="L13">
        <f t="shared" si="16"/>
        <v>0.44</v>
      </c>
      <c r="M13">
        <f t="shared" si="17"/>
        <v>0.44</v>
      </c>
      <c r="N13">
        <f t="shared" si="18"/>
        <v>0.44</v>
      </c>
      <c r="O13">
        <f t="shared" si="19"/>
        <v>0.22</v>
      </c>
      <c r="P13">
        <f t="shared" si="20"/>
        <v>0.44</v>
      </c>
      <c r="Q13">
        <f t="shared" si="15"/>
        <v>0.44</v>
      </c>
    </row>
    <row r="14" spans="1:17">
      <c r="A14" s="1" t="s">
        <v>31</v>
      </c>
      <c r="B14" t="s">
        <v>32</v>
      </c>
      <c r="C14">
        <v>4</v>
      </c>
      <c r="D14">
        <v>1</v>
      </c>
      <c r="E14">
        <v>2</v>
      </c>
      <c r="F14">
        <v>4</v>
      </c>
      <c r="G14">
        <v>3</v>
      </c>
      <c r="H14">
        <v>3</v>
      </c>
      <c r="I14">
        <f t="shared" si="13"/>
        <v>4</v>
      </c>
      <c r="J14">
        <v>0.13</v>
      </c>
      <c r="K14">
        <f t="shared" si="21"/>
        <v>0.52</v>
      </c>
      <c r="L14">
        <f t="shared" si="16"/>
        <v>0.13</v>
      </c>
      <c r="M14">
        <f t="shared" si="17"/>
        <v>0.26</v>
      </c>
      <c r="N14">
        <f t="shared" si="18"/>
        <v>0.52</v>
      </c>
      <c r="O14">
        <f t="shared" si="19"/>
        <v>0.39</v>
      </c>
      <c r="P14">
        <f t="shared" si="20"/>
        <v>0.39</v>
      </c>
      <c r="Q14">
        <f t="shared" si="15"/>
        <v>0.52</v>
      </c>
    </row>
    <row r="15" ht="30.75" spans="1:17">
      <c r="A15" s="13" t="s">
        <v>33</v>
      </c>
      <c r="B15" s="14" t="s">
        <v>34</v>
      </c>
      <c r="C15" s="15">
        <v>3</v>
      </c>
      <c r="D15" s="15">
        <v>1</v>
      </c>
      <c r="E15" s="15">
        <v>2</v>
      </c>
      <c r="F15" s="15">
        <v>4</v>
      </c>
      <c r="G15" s="15">
        <v>4</v>
      </c>
      <c r="H15" s="15">
        <v>4</v>
      </c>
      <c r="I15" s="15">
        <f t="shared" si="13"/>
        <v>4</v>
      </c>
      <c r="J15" s="15">
        <v>0.26</v>
      </c>
      <c r="K15" s="15">
        <f t="shared" si="21"/>
        <v>0.78</v>
      </c>
      <c r="L15" s="15">
        <f t="shared" si="16"/>
        <v>0.26</v>
      </c>
      <c r="M15" s="15">
        <f t="shared" si="17"/>
        <v>0.52</v>
      </c>
      <c r="N15" s="15">
        <f t="shared" si="18"/>
        <v>1.04</v>
      </c>
      <c r="O15" s="15">
        <f t="shared" si="19"/>
        <v>1.04</v>
      </c>
      <c r="P15" s="15">
        <f t="shared" si="20"/>
        <v>1.04</v>
      </c>
      <c r="Q15" s="15">
        <f t="shared" si="15"/>
        <v>1.04</v>
      </c>
    </row>
    <row r="16" spans="9:10">
      <c r="I16" t="s">
        <v>22</v>
      </c>
      <c r="J16" s="51">
        <f>SUM(J11:J15)</f>
        <v>1</v>
      </c>
    </row>
    <row r="17" spans="1:18">
      <c r="A17" s="16" t="s">
        <v>35</v>
      </c>
      <c r="B17" s="17" t="s">
        <v>36</v>
      </c>
      <c r="C17" s="17">
        <f t="shared" ref="C17:H17" si="22">SUM(C18:C21)</f>
        <v>14</v>
      </c>
      <c r="D17" s="17">
        <f t="shared" si="22"/>
        <v>5</v>
      </c>
      <c r="E17" s="17">
        <f t="shared" si="22"/>
        <v>8</v>
      </c>
      <c r="F17" s="17">
        <f t="shared" si="22"/>
        <v>16</v>
      </c>
      <c r="G17" s="17">
        <f t="shared" si="22"/>
        <v>16</v>
      </c>
      <c r="H17" s="17">
        <f t="shared" si="22"/>
        <v>16</v>
      </c>
      <c r="I17" s="17">
        <f t="shared" ref="I17:I18" si="23">MAX(C17:H17)</f>
        <v>16</v>
      </c>
      <c r="J17" s="50">
        <v>0.2</v>
      </c>
      <c r="K17" s="17">
        <f t="shared" ref="K17:P17" si="24">SUM(K18:K21)</f>
        <v>3.7</v>
      </c>
      <c r="L17" s="17">
        <f t="shared" si="24"/>
        <v>1.2</v>
      </c>
      <c r="M17" s="17">
        <f t="shared" si="24"/>
        <v>2.05</v>
      </c>
      <c r="N17" s="17">
        <f t="shared" si="24"/>
        <v>4</v>
      </c>
      <c r="O17" s="17">
        <f t="shared" si="24"/>
        <v>4</v>
      </c>
      <c r="P17" s="17">
        <f t="shared" si="24"/>
        <v>4</v>
      </c>
      <c r="Q17" s="17">
        <f t="shared" ref="Q17:Q18" si="25">MAX(K17:P17)</f>
        <v>4</v>
      </c>
      <c r="R17" s="56">
        <f>5*4</f>
        <v>20</v>
      </c>
    </row>
    <row r="18" spans="1:17">
      <c r="A18" s="1" t="s">
        <v>37</v>
      </c>
      <c r="B18" t="s">
        <v>38</v>
      </c>
      <c r="C18">
        <v>4</v>
      </c>
      <c r="D18">
        <v>1</v>
      </c>
      <c r="E18">
        <v>2</v>
      </c>
      <c r="F18">
        <v>4</v>
      </c>
      <c r="G18">
        <v>4</v>
      </c>
      <c r="H18">
        <v>4</v>
      </c>
      <c r="I18">
        <f t="shared" si="23"/>
        <v>4</v>
      </c>
      <c r="J18">
        <v>0.3</v>
      </c>
      <c r="K18" s="19">
        <f>$J18*C18</f>
        <v>1.2</v>
      </c>
      <c r="L18" s="19">
        <f t="shared" ref="L18:P18" si="26">$J18*D18</f>
        <v>0.3</v>
      </c>
      <c r="M18" s="19">
        <f t="shared" si="26"/>
        <v>0.6</v>
      </c>
      <c r="N18" s="19">
        <f t="shared" si="26"/>
        <v>1.2</v>
      </c>
      <c r="O18" s="19">
        <f t="shared" si="26"/>
        <v>1.2</v>
      </c>
      <c r="P18" s="19">
        <f t="shared" si="26"/>
        <v>1.2</v>
      </c>
      <c r="Q18">
        <f t="shared" si="25"/>
        <v>1.2</v>
      </c>
    </row>
    <row r="19" spans="1:17">
      <c r="A19" s="1" t="s">
        <v>39</v>
      </c>
      <c r="B19" t="s">
        <v>40</v>
      </c>
      <c r="C19">
        <v>4</v>
      </c>
      <c r="D19">
        <v>1</v>
      </c>
      <c r="E19">
        <v>2</v>
      </c>
      <c r="F19">
        <v>4</v>
      </c>
      <c r="G19">
        <v>4</v>
      </c>
      <c r="H19">
        <v>4</v>
      </c>
      <c r="I19">
        <f t="shared" ref="I19:I21" si="27">MAX(C19:H19)</f>
        <v>4</v>
      </c>
      <c r="J19">
        <v>0.35</v>
      </c>
      <c r="K19">
        <f t="shared" ref="K19:K21" si="28">$J19*C19</f>
        <v>1.4</v>
      </c>
      <c r="L19">
        <f t="shared" ref="L19:L21" si="29">$J19*D19</f>
        <v>0.35</v>
      </c>
      <c r="M19">
        <f t="shared" ref="M19:M21" si="30">$J19*E19</f>
        <v>0.7</v>
      </c>
      <c r="N19">
        <f t="shared" ref="N19:N21" si="31">$J19*F19</f>
        <v>1.4</v>
      </c>
      <c r="O19">
        <f t="shared" ref="O19:O21" si="32">$J19*G19</f>
        <v>1.4</v>
      </c>
      <c r="P19">
        <f t="shared" ref="P19:P21" si="33">$J19*H19</f>
        <v>1.4</v>
      </c>
      <c r="Q19">
        <f t="shared" ref="Q19:Q21" si="34">MAX(K19:P19)</f>
        <v>1.4</v>
      </c>
    </row>
    <row r="20" spans="1:17">
      <c r="A20" s="1" t="s">
        <v>41</v>
      </c>
      <c r="B20" t="s">
        <v>42</v>
      </c>
      <c r="C20">
        <v>4</v>
      </c>
      <c r="D20">
        <v>2</v>
      </c>
      <c r="E20">
        <v>3</v>
      </c>
      <c r="F20">
        <v>4</v>
      </c>
      <c r="G20">
        <v>4</v>
      </c>
      <c r="H20">
        <v>4</v>
      </c>
      <c r="I20">
        <f t="shared" si="27"/>
        <v>4</v>
      </c>
      <c r="J20">
        <v>0.2</v>
      </c>
      <c r="K20">
        <f t="shared" si="28"/>
        <v>0.8</v>
      </c>
      <c r="L20">
        <f t="shared" si="29"/>
        <v>0.4</v>
      </c>
      <c r="M20">
        <f t="shared" si="30"/>
        <v>0.6</v>
      </c>
      <c r="N20">
        <f t="shared" si="31"/>
        <v>0.8</v>
      </c>
      <c r="O20">
        <f t="shared" si="32"/>
        <v>0.8</v>
      </c>
      <c r="P20">
        <f t="shared" si="33"/>
        <v>0.8</v>
      </c>
      <c r="Q20">
        <f t="shared" si="34"/>
        <v>0.8</v>
      </c>
    </row>
    <row r="21" ht="15.75" spans="1:17">
      <c r="A21" s="13" t="s">
        <v>43</v>
      </c>
      <c r="B21" s="15" t="s">
        <v>44</v>
      </c>
      <c r="C21" s="15">
        <v>2</v>
      </c>
      <c r="D21" s="15">
        <v>1</v>
      </c>
      <c r="E21" s="15">
        <v>1</v>
      </c>
      <c r="F21" s="15">
        <v>4</v>
      </c>
      <c r="G21" s="15">
        <v>4</v>
      </c>
      <c r="H21" s="15">
        <v>4</v>
      </c>
      <c r="I21" s="15">
        <f t="shared" si="27"/>
        <v>4</v>
      </c>
      <c r="J21" s="15">
        <v>0.15</v>
      </c>
      <c r="K21" s="15">
        <f t="shared" si="28"/>
        <v>0.3</v>
      </c>
      <c r="L21" s="15">
        <f t="shared" si="29"/>
        <v>0.15</v>
      </c>
      <c r="M21" s="15">
        <f t="shared" si="30"/>
        <v>0.15</v>
      </c>
      <c r="N21" s="15">
        <f t="shared" si="31"/>
        <v>0.6</v>
      </c>
      <c r="O21" s="15">
        <f t="shared" si="32"/>
        <v>0.6</v>
      </c>
      <c r="P21" s="15">
        <f t="shared" si="33"/>
        <v>0.6</v>
      </c>
      <c r="Q21" s="15">
        <f t="shared" si="34"/>
        <v>0.6</v>
      </c>
    </row>
    <row r="22" spans="9:10">
      <c r="I22" t="s">
        <v>22</v>
      </c>
      <c r="J22">
        <f>SUM(J18:J21)</f>
        <v>1</v>
      </c>
    </row>
    <row r="23" spans="1:18">
      <c r="A23" s="10" t="s">
        <v>45</v>
      </c>
      <c r="B23" s="11" t="s">
        <v>46</v>
      </c>
      <c r="C23" s="11">
        <f>SUM(C24:C27)</f>
        <v>15</v>
      </c>
      <c r="D23" s="11">
        <f t="shared" ref="D23:E23" si="35">SUM(D24:D27)</f>
        <v>5</v>
      </c>
      <c r="E23" s="11">
        <f t="shared" si="35"/>
        <v>9</v>
      </c>
      <c r="F23" s="11">
        <f t="shared" ref="F23:H23" si="36">SUM(F24:F27)</f>
        <v>11</v>
      </c>
      <c r="G23" s="11">
        <f t="shared" si="36"/>
        <v>16</v>
      </c>
      <c r="H23" s="11">
        <f t="shared" si="36"/>
        <v>15</v>
      </c>
      <c r="I23" s="11">
        <f>MAX(C23:H23)</f>
        <v>16</v>
      </c>
      <c r="J23" s="21">
        <v>0.15</v>
      </c>
      <c r="K23" s="52">
        <f>SUM(K24:K27)</f>
        <v>3.6</v>
      </c>
      <c r="L23" s="52">
        <f t="shared" ref="L23:P23" si="37">SUM(L24:L27)</f>
        <v>1.25</v>
      </c>
      <c r="M23" s="52">
        <f t="shared" si="37"/>
        <v>2.25</v>
      </c>
      <c r="N23" s="52">
        <f t="shared" si="37"/>
        <v>2.65</v>
      </c>
      <c r="O23" s="52">
        <f t="shared" si="37"/>
        <v>4</v>
      </c>
      <c r="P23" s="52">
        <f t="shared" si="37"/>
        <v>3.6</v>
      </c>
      <c r="Q23" s="11">
        <f>MAX(K23:P23)</f>
        <v>4</v>
      </c>
      <c r="R23" s="55">
        <f>5*4</f>
        <v>20</v>
      </c>
    </row>
    <row r="24" spans="1:17">
      <c r="A24" s="18" t="s">
        <v>47</v>
      </c>
      <c r="B24" s="19" t="s">
        <v>48</v>
      </c>
      <c r="C24" s="19">
        <v>3</v>
      </c>
      <c r="D24" s="19">
        <v>1</v>
      </c>
      <c r="E24" s="19">
        <v>2</v>
      </c>
      <c r="F24" s="19">
        <v>2</v>
      </c>
      <c r="G24" s="19">
        <v>4</v>
      </c>
      <c r="H24" s="19">
        <v>3</v>
      </c>
      <c r="I24" s="19">
        <f>MAX(C24:H24)</f>
        <v>4</v>
      </c>
      <c r="J24">
        <v>0.4</v>
      </c>
      <c r="K24">
        <f>$J24*C24</f>
        <v>1.2</v>
      </c>
      <c r="L24">
        <f t="shared" ref="L24:P24" si="38">$J24*D24</f>
        <v>0.4</v>
      </c>
      <c r="M24">
        <f t="shared" si="38"/>
        <v>0.8</v>
      </c>
      <c r="N24">
        <f t="shared" si="38"/>
        <v>0.8</v>
      </c>
      <c r="O24">
        <f t="shared" si="38"/>
        <v>1.6</v>
      </c>
      <c r="P24">
        <f t="shared" si="38"/>
        <v>1.2</v>
      </c>
      <c r="Q24" s="19">
        <f>MAX(K24:P24)</f>
        <v>1.6</v>
      </c>
    </row>
    <row r="25" spans="1:17">
      <c r="A25" s="1" t="s">
        <v>49</v>
      </c>
      <c r="B25" t="s">
        <v>50</v>
      </c>
      <c r="C25">
        <v>4</v>
      </c>
      <c r="D25">
        <v>2</v>
      </c>
      <c r="E25">
        <v>3</v>
      </c>
      <c r="F25">
        <v>4</v>
      </c>
      <c r="G25">
        <v>4</v>
      </c>
      <c r="H25">
        <v>4</v>
      </c>
      <c r="I25">
        <f>MAX(C25:H25)</f>
        <v>4</v>
      </c>
      <c r="J25">
        <v>0.25</v>
      </c>
      <c r="K25">
        <f t="shared" ref="K25:K27" si="39">$J25*C25</f>
        <v>1</v>
      </c>
      <c r="L25">
        <f t="shared" ref="L25:L27" si="40">$J25*D25</f>
        <v>0.5</v>
      </c>
      <c r="M25">
        <f t="shared" ref="M25:M27" si="41">$J25*E25</f>
        <v>0.75</v>
      </c>
      <c r="N25">
        <f t="shared" ref="N25:N27" si="42">$J25*F25</f>
        <v>1</v>
      </c>
      <c r="O25">
        <f t="shared" ref="O25:O27" si="43">$J25*G25</f>
        <v>1</v>
      </c>
      <c r="P25">
        <f t="shared" ref="P25:P27" si="44">$J25*H25</f>
        <v>1</v>
      </c>
      <c r="Q25">
        <f>MAX(K25:P25)</f>
        <v>1</v>
      </c>
    </row>
    <row r="26" spans="1:17">
      <c r="A26" s="1" t="s">
        <v>51</v>
      </c>
      <c r="B26" t="s">
        <v>52</v>
      </c>
      <c r="C26">
        <v>4</v>
      </c>
      <c r="D26">
        <v>1</v>
      </c>
      <c r="E26">
        <v>2</v>
      </c>
      <c r="F26">
        <v>2</v>
      </c>
      <c r="G26">
        <v>4</v>
      </c>
      <c r="H26">
        <v>4</v>
      </c>
      <c r="I26">
        <f>MAX(C26:H26)</f>
        <v>4</v>
      </c>
      <c r="J26">
        <v>0.2</v>
      </c>
      <c r="K26">
        <f t="shared" si="39"/>
        <v>0.8</v>
      </c>
      <c r="L26">
        <f t="shared" si="40"/>
        <v>0.2</v>
      </c>
      <c r="M26">
        <f t="shared" si="41"/>
        <v>0.4</v>
      </c>
      <c r="N26">
        <f t="shared" si="42"/>
        <v>0.4</v>
      </c>
      <c r="O26">
        <f t="shared" si="43"/>
        <v>0.8</v>
      </c>
      <c r="P26">
        <f t="shared" si="44"/>
        <v>0.8</v>
      </c>
      <c r="Q26">
        <f>MAX(K26:P26)</f>
        <v>0.8</v>
      </c>
    </row>
    <row r="27" ht="15.75" spans="1:17">
      <c r="A27" s="13" t="s">
        <v>53</v>
      </c>
      <c r="B27" s="15" t="s">
        <v>54</v>
      </c>
      <c r="C27" s="15">
        <v>4</v>
      </c>
      <c r="D27" s="15">
        <v>1</v>
      </c>
      <c r="E27" s="15">
        <v>2</v>
      </c>
      <c r="F27" s="15">
        <v>3</v>
      </c>
      <c r="G27" s="15">
        <v>4</v>
      </c>
      <c r="H27" s="15">
        <v>4</v>
      </c>
      <c r="I27" s="15">
        <f>MAX(C27:H27)</f>
        <v>4</v>
      </c>
      <c r="J27" s="15">
        <v>0.15</v>
      </c>
      <c r="K27" s="15">
        <f t="shared" si="39"/>
        <v>0.6</v>
      </c>
      <c r="L27" s="15">
        <f t="shared" si="40"/>
        <v>0.15</v>
      </c>
      <c r="M27" s="15">
        <f t="shared" si="41"/>
        <v>0.3</v>
      </c>
      <c r="N27" s="15">
        <f t="shared" si="42"/>
        <v>0.45</v>
      </c>
      <c r="O27" s="15">
        <f t="shared" si="43"/>
        <v>0.6</v>
      </c>
      <c r="P27" s="15">
        <f t="shared" si="44"/>
        <v>0.6</v>
      </c>
      <c r="Q27" s="15">
        <f>MAX(K27:P27)</f>
        <v>0.6</v>
      </c>
    </row>
    <row r="28" spans="9:10">
      <c r="I28" t="s">
        <v>22</v>
      </c>
      <c r="J28">
        <f>SUM(J24:J27)</f>
        <v>1</v>
      </c>
    </row>
    <row r="29" spans="1:18">
      <c r="A29" s="20" t="s">
        <v>55</v>
      </c>
      <c r="B29" s="21" t="s">
        <v>56</v>
      </c>
      <c r="C29" s="11">
        <f>SUM(C30:C33)</f>
        <v>16</v>
      </c>
      <c r="D29" s="11">
        <f t="shared" ref="D29:H29" si="45">SUM(D30:D33)</f>
        <v>2</v>
      </c>
      <c r="E29" s="11">
        <f t="shared" si="45"/>
        <v>16</v>
      </c>
      <c r="F29" s="11">
        <f t="shared" si="45"/>
        <v>16</v>
      </c>
      <c r="G29" s="11">
        <f t="shared" si="45"/>
        <v>15</v>
      </c>
      <c r="H29" s="11">
        <f t="shared" si="45"/>
        <v>14</v>
      </c>
      <c r="I29" s="11">
        <f>MAX(C29:E29)</f>
        <v>16</v>
      </c>
      <c r="J29" s="21">
        <v>0.1</v>
      </c>
      <c r="K29" s="52">
        <f>SUM(K30:K33)</f>
        <v>4</v>
      </c>
      <c r="L29" s="52">
        <f t="shared" ref="L29:P29" si="46">SUM(L30:L33)</f>
        <v>0.6</v>
      </c>
      <c r="M29" s="52">
        <f t="shared" si="46"/>
        <v>4</v>
      </c>
      <c r="N29" s="52">
        <f t="shared" si="46"/>
        <v>4</v>
      </c>
      <c r="O29" s="52">
        <f t="shared" si="46"/>
        <v>3.8</v>
      </c>
      <c r="P29" s="52">
        <f t="shared" si="46"/>
        <v>3.4</v>
      </c>
      <c r="Q29" s="11">
        <f>MAX(K29:M29)</f>
        <v>4</v>
      </c>
      <c r="R29" s="55">
        <f>5*4</f>
        <v>20</v>
      </c>
    </row>
    <row r="30" spans="1:17">
      <c r="A30" s="18" t="s">
        <v>57</v>
      </c>
      <c r="B30" s="19" t="s">
        <v>58</v>
      </c>
      <c r="C30" s="19">
        <v>4</v>
      </c>
      <c r="D30" s="19">
        <v>1</v>
      </c>
      <c r="E30" s="19">
        <v>4</v>
      </c>
      <c r="F30" s="19">
        <v>4</v>
      </c>
      <c r="G30" s="19">
        <v>4</v>
      </c>
      <c r="H30" s="19">
        <v>3</v>
      </c>
      <c r="I30" s="19">
        <f>MAX(C30:H30)</f>
        <v>4</v>
      </c>
      <c r="J30">
        <v>0.4</v>
      </c>
      <c r="K30">
        <f>$J30*C30</f>
        <v>1.6</v>
      </c>
      <c r="L30">
        <f t="shared" ref="L30:P30" si="47">$J30*D30</f>
        <v>0.4</v>
      </c>
      <c r="M30">
        <f t="shared" si="47"/>
        <v>1.6</v>
      </c>
      <c r="N30">
        <f t="shared" si="47"/>
        <v>1.6</v>
      </c>
      <c r="O30">
        <f t="shared" si="47"/>
        <v>1.6</v>
      </c>
      <c r="P30">
        <f t="shared" si="47"/>
        <v>1.2</v>
      </c>
      <c r="Q30" s="19">
        <f>MAX(K30:P30)</f>
        <v>1.6</v>
      </c>
    </row>
    <row r="31" spans="1:17">
      <c r="A31" s="1" t="s">
        <v>59</v>
      </c>
      <c r="B31" t="s">
        <v>60</v>
      </c>
      <c r="C31">
        <v>4</v>
      </c>
      <c r="D31">
        <v>0</v>
      </c>
      <c r="E31">
        <v>4</v>
      </c>
      <c r="F31">
        <v>4</v>
      </c>
      <c r="G31">
        <v>4</v>
      </c>
      <c r="H31">
        <v>4</v>
      </c>
      <c r="I31">
        <f>MAX(C31:H31)</f>
        <v>4</v>
      </c>
      <c r="J31">
        <v>0.2</v>
      </c>
      <c r="K31">
        <f t="shared" ref="K31:K33" si="48">$J31*C31</f>
        <v>0.8</v>
      </c>
      <c r="L31">
        <f t="shared" ref="L31:L33" si="49">$J31*D31</f>
        <v>0</v>
      </c>
      <c r="M31">
        <f t="shared" ref="M31:M33" si="50">$J31*E31</f>
        <v>0.8</v>
      </c>
      <c r="N31">
        <f t="shared" ref="N31:N33" si="51">$J31*F31</f>
        <v>0.8</v>
      </c>
      <c r="O31">
        <f t="shared" ref="O31:O33" si="52">$J31*G31</f>
        <v>0.8</v>
      </c>
      <c r="P31">
        <f t="shared" ref="P31:P33" si="53">$J31*H31</f>
        <v>0.8</v>
      </c>
      <c r="Q31">
        <f>MAX(K31:P31)</f>
        <v>0.8</v>
      </c>
    </row>
    <row r="32" spans="1:17">
      <c r="A32" s="1" t="s">
        <v>61</v>
      </c>
      <c r="B32" t="s">
        <v>62</v>
      </c>
      <c r="C32">
        <v>4</v>
      </c>
      <c r="D32">
        <v>1</v>
      </c>
      <c r="E32">
        <v>4</v>
      </c>
      <c r="F32">
        <v>4</v>
      </c>
      <c r="G32">
        <v>4</v>
      </c>
      <c r="H32">
        <v>4</v>
      </c>
      <c r="I32">
        <f>MAX(C32:H32)</f>
        <v>4</v>
      </c>
      <c r="J32">
        <v>0.2</v>
      </c>
      <c r="K32">
        <f t="shared" si="48"/>
        <v>0.8</v>
      </c>
      <c r="L32">
        <f t="shared" si="49"/>
        <v>0.2</v>
      </c>
      <c r="M32">
        <f t="shared" si="50"/>
        <v>0.8</v>
      </c>
      <c r="N32">
        <f t="shared" si="51"/>
        <v>0.8</v>
      </c>
      <c r="O32">
        <f t="shared" si="52"/>
        <v>0.8</v>
      </c>
      <c r="P32">
        <f t="shared" si="53"/>
        <v>0.8</v>
      </c>
      <c r="Q32">
        <f>MAX(K32:P32)</f>
        <v>0.8</v>
      </c>
    </row>
    <row r="33" ht="15.75" spans="1:17">
      <c r="A33" s="13" t="s">
        <v>63</v>
      </c>
      <c r="B33" s="15" t="s">
        <v>64</v>
      </c>
      <c r="C33" s="15">
        <v>4</v>
      </c>
      <c r="D33" s="15">
        <v>0</v>
      </c>
      <c r="E33" s="15">
        <v>4</v>
      </c>
      <c r="F33" s="15">
        <v>4</v>
      </c>
      <c r="G33" s="15">
        <v>3</v>
      </c>
      <c r="H33" s="15">
        <v>3</v>
      </c>
      <c r="I33" s="15">
        <f>MAX(C33:H33)</f>
        <v>4</v>
      </c>
      <c r="J33" s="15">
        <v>0.2</v>
      </c>
      <c r="K33" s="15">
        <f t="shared" si="48"/>
        <v>0.8</v>
      </c>
      <c r="L33" s="15">
        <f t="shared" si="49"/>
        <v>0</v>
      </c>
      <c r="M33" s="15">
        <f t="shared" si="50"/>
        <v>0.8</v>
      </c>
      <c r="N33" s="15">
        <f t="shared" si="51"/>
        <v>0.8</v>
      </c>
      <c r="O33" s="15">
        <f t="shared" si="52"/>
        <v>0.6</v>
      </c>
      <c r="P33" s="15">
        <f t="shared" si="53"/>
        <v>0.6</v>
      </c>
      <c r="Q33" s="15">
        <f>MAX(K33:P33)</f>
        <v>0.8</v>
      </c>
    </row>
    <row r="34" spans="9:10">
      <c r="I34" t="s">
        <v>22</v>
      </c>
      <c r="J34">
        <f>SUM(J30:J33)</f>
        <v>1</v>
      </c>
    </row>
    <row r="35" spans="1:18">
      <c r="A35" s="10" t="s">
        <v>65</v>
      </c>
      <c r="B35" s="11" t="s">
        <v>66</v>
      </c>
      <c r="C35" s="11">
        <f t="shared" ref="C35:H35" si="54">SUM(C36:C39)</f>
        <v>16</v>
      </c>
      <c r="D35" s="11">
        <f t="shared" si="54"/>
        <v>7</v>
      </c>
      <c r="E35" s="11">
        <f t="shared" si="54"/>
        <v>14</v>
      </c>
      <c r="F35" s="11">
        <f t="shared" si="54"/>
        <v>15</v>
      </c>
      <c r="G35" s="11">
        <f t="shared" si="54"/>
        <v>12</v>
      </c>
      <c r="H35" s="11">
        <f t="shared" si="54"/>
        <v>11</v>
      </c>
      <c r="I35" s="11">
        <f>MAX(C35:H35)</f>
        <v>16</v>
      </c>
      <c r="J35" s="21">
        <v>0.08</v>
      </c>
      <c r="K35" s="52">
        <f t="shared" ref="K35:P35" si="55">SUM(K36:K39)</f>
        <v>4</v>
      </c>
      <c r="L35" s="52">
        <f t="shared" si="55"/>
        <v>1.9</v>
      </c>
      <c r="M35" s="52">
        <f t="shared" si="55"/>
        <v>3.4</v>
      </c>
      <c r="N35" s="52">
        <f t="shared" si="55"/>
        <v>3.7</v>
      </c>
      <c r="O35" s="52">
        <f t="shared" si="55"/>
        <v>3</v>
      </c>
      <c r="P35" s="52">
        <f t="shared" si="55"/>
        <v>3.05</v>
      </c>
      <c r="Q35" s="11">
        <f>MAX(K35:P35)</f>
        <v>4</v>
      </c>
      <c r="R35" s="55">
        <f>5*4</f>
        <v>20</v>
      </c>
    </row>
    <row r="36" spans="1:17">
      <c r="A36" s="18" t="s">
        <v>67</v>
      </c>
      <c r="B36" s="19" t="s">
        <v>68</v>
      </c>
      <c r="C36" s="19">
        <v>4</v>
      </c>
      <c r="D36" s="19">
        <v>1</v>
      </c>
      <c r="E36" s="19">
        <v>4</v>
      </c>
      <c r="F36" s="19">
        <v>4</v>
      </c>
      <c r="G36" s="19">
        <v>3</v>
      </c>
      <c r="H36" s="19">
        <v>2</v>
      </c>
      <c r="I36" s="19">
        <f>MAX(C36:H36)</f>
        <v>4</v>
      </c>
      <c r="J36">
        <v>0.25</v>
      </c>
      <c r="K36">
        <f>$J36*C36</f>
        <v>1</v>
      </c>
      <c r="L36">
        <f t="shared" ref="L36:P36" si="56">$J36*D36</f>
        <v>0.25</v>
      </c>
      <c r="M36">
        <f t="shared" si="56"/>
        <v>1</v>
      </c>
      <c r="N36">
        <f t="shared" si="56"/>
        <v>1</v>
      </c>
      <c r="O36">
        <f t="shared" si="56"/>
        <v>0.75</v>
      </c>
      <c r="P36">
        <f t="shared" si="56"/>
        <v>0.5</v>
      </c>
      <c r="Q36" s="19">
        <f>MAX(K36:P36)</f>
        <v>1</v>
      </c>
    </row>
    <row r="37" spans="1:17">
      <c r="A37" s="1" t="s">
        <v>69</v>
      </c>
      <c r="B37" t="s">
        <v>70</v>
      </c>
      <c r="C37">
        <v>4</v>
      </c>
      <c r="D37">
        <v>1</v>
      </c>
      <c r="E37">
        <v>2</v>
      </c>
      <c r="F37">
        <v>3</v>
      </c>
      <c r="G37">
        <v>4</v>
      </c>
      <c r="H37">
        <v>4</v>
      </c>
      <c r="I37">
        <f>MAX(C37:H37)</f>
        <v>4</v>
      </c>
      <c r="J37">
        <v>0.3</v>
      </c>
      <c r="K37">
        <f t="shared" ref="K37:K39" si="57">$J37*C37</f>
        <v>1.2</v>
      </c>
      <c r="L37">
        <f t="shared" ref="L37:L39" si="58">$J37*D37</f>
        <v>0.3</v>
      </c>
      <c r="M37">
        <f t="shared" ref="M37:M39" si="59">$J37*E37</f>
        <v>0.6</v>
      </c>
      <c r="N37">
        <f t="shared" ref="N37:N39" si="60">$J37*F37</f>
        <v>0.9</v>
      </c>
      <c r="O37">
        <f t="shared" ref="O37:O39" si="61">$J37*G37</f>
        <v>1.2</v>
      </c>
      <c r="P37">
        <f t="shared" ref="P37:P39" si="62">$J37*H37</f>
        <v>1.2</v>
      </c>
      <c r="Q37">
        <f>MAX(K37:P37)</f>
        <v>1.2</v>
      </c>
    </row>
    <row r="38" spans="1:17">
      <c r="A38" s="1" t="s">
        <v>71</v>
      </c>
      <c r="B38" t="s">
        <v>72</v>
      </c>
      <c r="C38">
        <v>4</v>
      </c>
      <c r="D38">
        <v>1</v>
      </c>
      <c r="E38">
        <v>4</v>
      </c>
      <c r="F38">
        <v>4</v>
      </c>
      <c r="G38">
        <v>3</v>
      </c>
      <c r="H38">
        <v>1</v>
      </c>
      <c r="I38">
        <f>MAX(C38:H38)</f>
        <v>4</v>
      </c>
      <c r="J38">
        <v>0.15</v>
      </c>
      <c r="K38">
        <f t="shared" si="57"/>
        <v>0.6</v>
      </c>
      <c r="L38">
        <f t="shared" si="58"/>
        <v>0.15</v>
      </c>
      <c r="M38">
        <f t="shared" si="59"/>
        <v>0.6</v>
      </c>
      <c r="N38">
        <f t="shared" si="60"/>
        <v>0.6</v>
      </c>
      <c r="O38">
        <f t="shared" si="61"/>
        <v>0.45</v>
      </c>
      <c r="P38">
        <f t="shared" si="62"/>
        <v>0.15</v>
      </c>
      <c r="Q38">
        <f>MAX(K38:P38)</f>
        <v>0.6</v>
      </c>
    </row>
    <row r="39" ht="15.75" spans="1:17">
      <c r="A39" s="13" t="s">
        <v>73</v>
      </c>
      <c r="B39" s="15" t="s">
        <v>74</v>
      </c>
      <c r="C39" s="15">
        <v>4</v>
      </c>
      <c r="D39" s="15">
        <v>4</v>
      </c>
      <c r="E39" s="15">
        <v>4</v>
      </c>
      <c r="F39" s="15">
        <v>4</v>
      </c>
      <c r="G39" s="15">
        <v>2</v>
      </c>
      <c r="H39" s="15">
        <v>4</v>
      </c>
      <c r="I39" s="15">
        <f>MAX(C39:H39)</f>
        <v>4</v>
      </c>
      <c r="J39" s="15">
        <v>0.3</v>
      </c>
      <c r="K39" s="15">
        <f t="shared" si="57"/>
        <v>1.2</v>
      </c>
      <c r="L39" s="15">
        <f t="shared" si="58"/>
        <v>1.2</v>
      </c>
      <c r="M39" s="15">
        <f t="shared" si="59"/>
        <v>1.2</v>
      </c>
      <c r="N39" s="15">
        <f t="shared" si="60"/>
        <v>1.2</v>
      </c>
      <c r="O39" s="15">
        <f t="shared" si="61"/>
        <v>0.6</v>
      </c>
      <c r="P39" s="15">
        <f t="shared" si="62"/>
        <v>1.2</v>
      </c>
      <c r="Q39" s="15">
        <f>MAX(K39:P39)</f>
        <v>1.2</v>
      </c>
    </row>
    <row r="40" spans="9:10">
      <c r="I40" t="s">
        <v>22</v>
      </c>
      <c r="J40">
        <f>SUM(J36:J39)</f>
        <v>1</v>
      </c>
    </row>
    <row r="41" spans="1:18">
      <c r="A41" s="22" t="s">
        <v>75</v>
      </c>
      <c r="B41" s="23" t="s">
        <v>76</v>
      </c>
      <c r="C41" s="23">
        <f>SUM(C42:C44)</f>
        <v>10</v>
      </c>
      <c r="D41" s="23">
        <f t="shared" ref="D41:H41" si="63">SUM(D42:D44)</f>
        <v>11</v>
      </c>
      <c r="E41" s="23">
        <f t="shared" si="63"/>
        <v>6</v>
      </c>
      <c r="F41" s="23">
        <f t="shared" si="63"/>
        <v>5</v>
      </c>
      <c r="G41" s="23">
        <f t="shared" si="63"/>
        <v>8</v>
      </c>
      <c r="H41" s="23">
        <f t="shared" si="63"/>
        <v>10</v>
      </c>
      <c r="I41" s="23">
        <f>MAX(C41:H41)</f>
        <v>11</v>
      </c>
      <c r="J41" s="21">
        <v>0.07</v>
      </c>
      <c r="K41" s="23">
        <f>SUM(K42:K44)</f>
        <v>3.25</v>
      </c>
      <c r="L41" s="23">
        <f t="shared" ref="L41:P41" si="64">SUM(L42:L44)</f>
        <v>3.75</v>
      </c>
      <c r="M41" s="23">
        <f t="shared" si="64"/>
        <v>2</v>
      </c>
      <c r="N41" s="23">
        <f t="shared" si="64"/>
        <v>1.6</v>
      </c>
      <c r="O41" s="23">
        <f t="shared" si="64"/>
        <v>2.45</v>
      </c>
      <c r="P41" s="23">
        <f t="shared" si="64"/>
        <v>3.2</v>
      </c>
      <c r="Q41" s="23">
        <f>MAX(K41:P41)</f>
        <v>3.75</v>
      </c>
      <c r="R41" s="23">
        <f>5*3</f>
        <v>15</v>
      </c>
    </row>
    <row r="42" spans="1:17">
      <c r="A42" s="1" t="s">
        <v>77</v>
      </c>
      <c r="B42" t="s">
        <v>78</v>
      </c>
      <c r="C42">
        <v>3</v>
      </c>
      <c r="D42">
        <v>4</v>
      </c>
      <c r="E42">
        <v>2</v>
      </c>
      <c r="F42">
        <v>1</v>
      </c>
      <c r="G42">
        <v>1</v>
      </c>
      <c r="H42">
        <v>2</v>
      </c>
      <c r="I42">
        <f>MAX(C42:H42)</f>
        <v>4</v>
      </c>
      <c r="J42">
        <v>0.4</v>
      </c>
      <c r="K42">
        <f>$J42*C42</f>
        <v>1.2</v>
      </c>
      <c r="L42">
        <f t="shared" ref="L42:P42" si="65">$J42*D42</f>
        <v>1.6</v>
      </c>
      <c r="M42">
        <f t="shared" si="65"/>
        <v>0.8</v>
      </c>
      <c r="N42">
        <f t="shared" si="65"/>
        <v>0.4</v>
      </c>
      <c r="O42">
        <f t="shared" si="65"/>
        <v>0.4</v>
      </c>
      <c r="P42">
        <f t="shared" si="65"/>
        <v>0.8</v>
      </c>
      <c r="Q42">
        <f>MAX(K42:P42)</f>
        <v>1.6</v>
      </c>
    </row>
    <row r="43" spans="1:17">
      <c r="A43" s="1" t="s">
        <v>79</v>
      </c>
      <c r="B43" t="s">
        <v>80</v>
      </c>
      <c r="C43">
        <v>3</v>
      </c>
      <c r="D43">
        <v>4</v>
      </c>
      <c r="E43">
        <v>2</v>
      </c>
      <c r="F43">
        <v>2</v>
      </c>
      <c r="G43">
        <v>3</v>
      </c>
      <c r="H43">
        <v>4</v>
      </c>
      <c r="I43">
        <f>MAX(C43:H43)</f>
        <v>4</v>
      </c>
      <c r="J43">
        <v>0.35</v>
      </c>
      <c r="K43">
        <f t="shared" ref="K43:K44" si="66">$J43*C43</f>
        <v>1.05</v>
      </c>
      <c r="L43">
        <f t="shared" ref="L43:L44" si="67">$J43*D43</f>
        <v>1.4</v>
      </c>
      <c r="M43">
        <f t="shared" ref="M43:M44" si="68">$J43*E43</f>
        <v>0.7</v>
      </c>
      <c r="N43">
        <f t="shared" ref="N43:N44" si="69">$J43*F43</f>
        <v>0.7</v>
      </c>
      <c r="O43">
        <f t="shared" ref="O43:O44" si="70">$J43*G43</f>
        <v>1.05</v>
      </c>
      <c r="P43">
        <f t="shared" ref="P43:P44" si="71">$J43*H43</f>
        <v>1.4</v>
      </c>
      <c r="Q43">
        <f>MAX(K43:P43)</f>
        <v>1.4</v>
      </c>
    </row>
    <row r="44" ht="15.75" spans="1:17">
      <c r="A44" s="13" t="s">
        <v>81</v>
      </c>
      <c r="B44" s="15" t="s">
        <v>82</v>
      </c>
      <c r="C44" s="15">
        <v>4</v>
      </c>
      <c r="D44" s="15">
        <v>3</v>
      </c>
      <c r="E44" s="15">
        <v>2</v>
      </c>
      <c r="F44" s="15">
        <v>2</v>
      </c>
      <c r="G44" s="15">
        <v>4</v>
      </c>
      <c r="H44" s="15">
        <v>4</v>
      </c>
      <c r="I44" s="15">
        <f>MAX(C44:H44)</f>
        <v>4</v>
      </c>
      <c r="J44" s="15">
        <v>0.25</v>
      </c>
      <c r="K44" s="15">
        <f t="shared" si="66"/>
        <v>1</v>
      </c>
      <c r="L44" s="15">
        <f t="shared" si="67"/>
        <v>0.75</v>
      </c>
      <c r="M44" s="15">
        <f t="shared" si="68"/>
        <v>0.5</v>
      </c>
      <c r="N44" s="15">
        <f t="shared" si="69"/>
        <v>0.5</v>
      </c>
      <c r="O44" s="15">
        <f t="shared" si="70"/>
        <v>1</v>
      </c>
      <c r="P44" s="15">
        <f t="shared" si="71"/>
        <v>1</v>
      </c>
      <c r="Q44" s="15">
        <f>MAX(K44:P44)</f>
        <v>1</v>
      </c>
    </row>
    <row r="45" spans="9:10">
      <c r="I45" t="s">
        <v>22</v>
      </c>
      <c r="J45">
        <f>SUM(J42:J44)</f>
        <v>1</v>
      </c>
    </row>
    <row r="46" spans="9:10">
      <c r="I46" s="53" t="s">
        <v>83</v>
      </c>
      <c r="J46" s="17">
        <f>J41+J35+J29+J23+J17+J10+J3</f>
        <v>1</v>
      </c>
    </row>
    <row r="48" ht="15.75" spans="3:8">
      <c r="C48" s="24" t="s">
        <v>3</v>
      </c>
      <c r="D48" s="25" t="s">
        <v>4</v>
      </c>
      <c r="E48" s="26" t="s">
        <v>5</v>
      </c>
      <c r="F48" s="27" t="s">
        <v>6</v>
      </c>
      <c r="G48" s="28" t="s">
        <v>7</v>
      </c>
      <c r="H48" s="29" t="s">
        <v>8</v>
      </c>
    </row>
    <row r="49" spans="2:8">
      <c r="B49" s="30" t="s">
        <v>84</v>
      </c>
      <c r="C49" s="31">
        <f t="shared" ref="C49:H49" si="72">SUM(C3,C10,C17,C23,C35,C41,C29)</f>
        <v>108</v>
      </c>
      <c r="D49" s="31">
        <f t="shared" si="72"/>
        <v>48</v>
      </c>
      <c r="E49" s="31">
        <f t="shared" si="72"/>
        <v>77</v>
      </c>
      <c r="F49" s="31">
        <f t="shared" si="72"/>
        <v>95</v>
      </c>
      <c r="G49" s="31">
        <f t="shared" si="72"/>
        <v>104</v>
      </c>
      <c r="H49" s="32">
        <f t="shared" si="72"/>
        <v>104</v>
      </c>
    </row>
    <row r="50" spans="2:8">
      <c r="B50" s="33" t="s">
        <v>85</v>
      </c>
      <c r="C50">
        <f>SUM(K$3,K$10,K$17,K$23,K$29,K$35,K$41)</f>
        <v>26.09</v>
      </c>
      <c r="D50">
        <f t="shared" ref="C50:H50" si="73">SUM(L$3,L$10,L$17,L$23,L$29,L$35,L$41)</f>
        <v>12.33</v>
      </c>
      <c r="E50">
        <f t="shared" si="73"/>
        <v>18.37</v>
      </c>
      <c r="F50">
        <f t="shared" si="73"/>
        <v>21.95</v>
      </c>
      <c r="G50">
        <f t="shared" si="73"/>
        <v>24.9</v>
      </c>
      <c r="H50" s="34">
        <f t="shared" si="73"/>
        <v>25.02</v>
      </c>
    </row>
    <row r="51" ht="15.75" spans="2:8">
      <c r="B51" s="35" t="s">
        <v>86</v>
      </c>
      <c r="C51" s="15">
        <f>SUM(K$3*$J$3,K$10*$J$10,K$17*$J$17,K$23*$J$23,K$29*$J$29,K$35*$J$35,K$41*$J$41)</f>
        <v>3.7125</v>
      </c>
      <c r="D51" s="15">
        <f t="shared" ref="D51:H51" si="74">SUM(L$3*$J$3,L$10*$J$10,L$17*$J$17,L$23*$J$23,L$29*$J$29,L$35*$J$35,L$41*$J$41)</f>
        <v>1.5795</v>
      </c>
      <c r="E51" s="15">
        <f t="shared" si="74"/>
        <v>2.482</v>
      </c>
      <c r="F51" s="15">
        <f t="shared" si="74"/>
        <v>3.2155</v>
      </c>
      <c r="G51" s="15">
        <f t="shared" si="74"/>
        <v>3.704</v>
      </c>
      <c r="H51" s="36">
        <f t="shared" si="74"/>
        <v>3.6905</v>
      </c>
    </row>
    <row r="52" spans="2:7">
      <c r="B52" s="37"/>
      <c r="C52" t="s">
        <v>87</v>
      </c>
      <c r="D52" t="s">
        <v>88</v>
      </c>
      <c r="E52" t="s">
        <v>89</v>
      </c>
      <c r="F52" t="s">
        <v>90</v>
      </c>
      <c r="G52" s="38"/>
    </row>
    <row r="53" spans="2:7">
      <c r="B53" s="39" t="s">
        <v>91</v>
      </c>
      <c r="C53">
        <f>R41+R35+R29+R23+R17+R10+R3</f>
        <v>145</v>
      </c>
      <c r="D53">
        <v>4</v>
      </c>
      <c r="E53">
        <v>7</v>
      </c>
      <c r="F53" s="40">
        <f>E53*D53</f>
        <v>28</v>
      </c>
      <c r="G53" s="41"/>
    </row>
    <row r="54" spans="2:8">
      <c r="B54" s="42" t="s">
        <v>92</v>
      </c>
      <c r="C54" s="43">
        <f>C51/$D$53</f>
        <v>0.928125</v>
      </c>
      <c r="D54" s="43">
        <f t="shared" ref="D54:H54" si="75">D51/$D$53</f>
        <v>0.394875</v>
      </c>
      <c r="E54" s="43">
        <f t="shared" si="75"/>
        <v>0.6205</v>
      </c>
      <c r="F54" s="43">
        <f t="shared" si="75"/>
        <v>0.803875</v>
      </c>
      <c r="G54" s="43">
        <f t="shared" si="75"/>
        <v>0.926</v>
      </c>
      <c r="H54" s="44">
        <f t="shared" si="75"/>
        <v>0.922625</v>
      </c>
    </row>
    <row r="55" spans="2:8">
      <c r="B55" s="45" t="s">
        <v>93</v>
      </c>
      <c r="C55" s="46">
        <f>C54*100</f>
        <v>92.8125</v>
      </c>
      <c r="D55" s="46">
        <f t="shared" ref="D55:H55" si="76">D54*100</f>
        <v>39.4875</v>
      </c>
      <c r="E55" s="46">
        <f t="shared" si="76"/>
        <v>62.05</v>
      </c>
      <c r="F55" s="46">
        <f t="shared" si="76"/>
        <v>80.3875</v>
      </c>
      <c r="G55" s="46">
        <f t="shared" si="76"/>
        <v>92.6</v>
      </c>
      <c r="H55" s="46">
        <f t="shared" si="76"/>
        <v>92.2625</v>
      </c>
    </row>
    <row r="58" spans="4:5">
      <c r="D58" t="s">
        <v>94</v>
      </c>
      <c r="E58" t="s">
        <v>95</v>
      </c>
    </row>
    <row r="59" spans="4:5">
      <c r="D59" t="s">
        <v>96</v>
      </c>
      <c r="E59" t="s">
        <v>97</v>
      </c>
    </row>
    <row r="60" spans="4:5">
      <c r="D60" t="s">
        <v>98</v>
      </c>
      <c r="E60" t="s">
        <v>99</v>
      </c>
    </row>
    <row r="61" spans="4:5">
      <c r="D61" t="s">
        <v>100</v>
      </c>
      <c r="E61" t="s">
        <v>101</v>
      </c>
    </row>
    <row r="62" spans="4:5">
      <c r="D62" t="s">
        <v>102</v>
      </c>
      <c r="E62" t="s">
        <v>103</v>
      </c>
    </row>
    <row r="63" spans="6:6">
      <c r="F63" t="s">
        <v>104</v>
      </c>
    </row>
  </sheetData>
  <mergeCells count="2">
    <mergeCell ref="K1:P1"/>
    <mergeCell ref="F53:G53"/>
  </mergeCells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MР3 Play</cp:lastModifiedBy>
  <dcterms:created xsi:type="dcterms:W3CDTF">2025-03-07T14:24:00Z</dcterms:created>
  <dcterms:modified xsi:type="dcterms:W3CDTF">2026-03-09T20:07:21Z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7C503EF149FC4F22B7D771C8DDF4FE12_12</vt:lpwstr>
  </property>
</Properties>
</file>